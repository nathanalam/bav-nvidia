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ources" sheetId="1" r:id="rId1"/>
    <sheet name="DuPont" sheetId="2" r:id="rId2"/>
    <sheet name="Comparability" sheetId="3" r:id="rId3"/>
    <sheet name="Forecast" sheetId="4" r:id="rId4"/>
  </sheets>
  <calcPr calcId="124519" fullCalcOnLoad="1"/>
</workbook>
</file>

<file path=xl/sharedStrings.xml><?xml version="1.0" encoding="utf-8"?>
<sst xmlns="http://schemas.openxmlformats.org/spreadsheetml/2006/main" count="230" uniqueCount="136">
  <si>
    <t>Quarterly source figures, USD millions</t>
  </si>
  <si>
    <t>Shaded columns are the Q2 2024 opening balance and are not ratio quarters. Net debt and NOPAT are formulas. AMD interest income is blank, not zero. The fourth quarter is the rounded fiscal year minus the three rounded quarters.</t>
  </si>
  <si>
    <t>Line</t>
  </si>
  <si>
    <t>NVIDIA Q2 24 base</t>
  </si>
  <si>
    <t>NVIDIA Q3 24</t>
  </si>
  <si>
    <t>NVIDIA Q4 24</t>
  </si>
  <si>
    <t>NVIDIA Q1 25</t>
  </si>
  <si>
    <t>NVIDIA Q2 25</t>
  </si>
  <si>
    <t>NVIDIA Q3 25</t>
  </si>
  <si>
    <t>NVIDIA Q4 25</t>
  </si>
  <si>
    <t>NVIDIA Q1 26</t>
  </si>
  <si>
    <t>NVIDIA Q2 26</t>
  </si>
  <si>
    <t>AMD Q2 24 base</t>
  </si>
  <si>
    <t>AMD Q3 24</t>
  </si>
  <si>
    <t>AMD Q4 24</t>
  </si>
  <si>
    <t>AMD Q1 25</t>
  </si>
  <si>
    <t>AMD Q2 25</t>
  </si>
  <si>
    <t>AMD Q3 25</t>
  </si>
  <si>
    <t>AMD Q4 25</t>
  </si>
  <si>
    <t>AMD Q1 26</t>
  </si>
  <si>
    <t>AMD Q2 26</t>
  </si>
  <si>
    <t>Intel Q2 24 base</t>
  </si>
  <si>
    <t>Intel Q3 24</t>
  </si>
  <si>
    <t>Intel Q4 24</t>
  </si>
  <si>
    <t>Intel Q1 25</t>
  </si>
  <si>
    <t>Intel Q2 25</t>
  </si>
  <si>
    <t>Intel Q3 25</t>
  </si>
  <si>
    <t>Intel Q4 25</t>
  </si>
  <si>
    <t>Intel Q1 26</t>
  </si>
  <si>
    <t>Intel Q2 26</t>
  </si>
  <si>
    <t>Revenue</t>
  </si>
  <si>
    <t>Operating income</t>
  </si>
  <si>
    <t>Net income to the company</t>
  </si>
  <si>
    <t>Interest expense</t>
  </si>
  <si>
    <t>Interest income</t>
  </si>
  <si>
    <t>Total assets</t>
  </si>
  <si>
    <t>Equity, including NCI where presented</t>
  </si>
  <si>
    <t>Cash</t>
  </si>
  <si>
    <t>Marketable securities or short-term investments</t>
  </si>
  <si>
    <t>Debt, including current portion</t>
  </si>
  <si>
    <t>Long-term operating lease liability</t>
  </si>
  <si>
    <t>Operating cash flow</t>
  </si>
  <si>
    <t>Capital expenditures, cash spent</t>
  </si>
  <si>
    <t>Net debt = debt + lease - cash - liquid investments</t>
  </si>
  <si>
    <t>After-tax net interest = (interest expense - interest income) x 0.79</t>
  </si>
  <si>
    <t>NOPAT = net income + after-tax net interest</t>
  </si>
  <si>
    <t>Pulled from SEC companyfacts for the Form 10-Q and Form 10-K quarters. A tagged quarter is kept. The fourth quarter equals the rounded fiscal year minus the three rounded quarters, and the plug is within $2 million of the unrounded residual, so four quarters add to the 10-K. AMD interest income is annual-only in the taxonomy, so the cell is blank and COUNTA keeps it from becoming zero. Intel net income is consolidated profit, and Intel equity includes non-controlling interests. Intel cash on 2024-06-29, 2024-09-28, and 2025-03-29 is cash plus restricted cash, because face cash was not tagged. NVIDIA liquid investments from 2026-01-25 are current debt securities plus equity securities at fair value. NVIDIA capex is purchases of property, equipment, and intangibles. AMD and Intel capex are purchases of property and equipment. The annual AMD figure includes $38 million of discontinued capex that is not in these quarters.</t>
  </si>
  <si>
    <t>Quarterly advanced DuPont</t>
  </si>
  <si>
    <t>Every ratio is a formula on the quarter. YES tests the unrounded quarterly identity. Annualized rows are the quarter times four. Shaded columns are the opening balance. AMD modified DuPont is n.m. because interest income is blank.</t>
  </si>
  <si>
    <t>RATIOS</t>
  </si>
  <si>
    <t>NVIDIA</t>
  </si>
  <si>
    <t>Q2 24 base</t>
  </si>
  <si>
    <t>Q3 24</t>
  </si>
  <si>
    <t>Q4 24</t>
  </si>
  <si>
    <t>Q1 25</t>
  </si>
  <si>
    <t>Q2 25</t>
  </si>
  <si>
    <t>Q3 25</t>
  </si>
  <si>
    <t>Q4 25</t>
  </si>
  <si>
    <t>Q1 26</t>
  </si>
  <si>
    <t>Q2 26</t>
  </si>
  <si>
    <t>AMD</t>
  </si>
  <si>
    <t>Intel</t>
  </si>
  <si>
    <t>Traditional DuPont</t>
  </si>
  <si>
    <t>Net margin</t>
  </si>
  <si>
    <t>x Asset turnover (sales / avg total assets)</t>
  </si>
  <si>
    <t>x Leverage (avg assets / avg equity)</t>
  </si>
  <si>
    <t>ROE (NI / avg equity)</t>
  </si>
  <si>
    <t>Check: ROE = margin x turnover x leverage</t>
  </si>
  <si>
    <t>Modified DuPont</t>
  </si>
  <si>
    <t>NOPAT margin</t>
  </si>
  <si>
    <t>x Operating asset turnover (sales / avg NOA)</t>
  </si>
  <si>
    <t>Operating ROA</t>
  </si>
  <si>
    <t>Check: operating ROA = NOPAT margin x NOA turn</t>
  </si>
  <si>
    <t>- Net interest cost (after-tax interest / avg net debt)</t>
  </si>
  <si>
    <t>Spread</t>
  </si>
  <si>
    <t>x Net financial leverage (avg net debt / avg equity)</t>
  </si>
  <si>
    <t>Gain or loss on financial leverage</t>
  </si>
  <si>
    <t>Check: ROE = operating ROA + gain</t>
  </si>
  <si>
    <t>Operating ROA if NOPAT = operating income x 0.79</t>
  </si>
  <si>
    <t>Annualized, quarter x 4. Margins are not annualized.</t>
  </si>
  <si>
    <t>ROE, annualized</t>
  </si>
  <si>
    <t>Asset turnover, annualized</t>
  </si>
  <si>
    <t>Operating ROA, annualized</t>
  </si>
  <si>
    <t>Operating ROA on taxed operating income, annualized</t>
  </si>
  <si>
    <t>Averages are wrapped as (((opening)+(closing))/2) so Excel does not read a/b/2 as (a/b)/2. NOPAT uses the statutory 21% rate on net interest only. The taxed-operating-income row is filled in for every company, including AMD. Negative net financial leverage means net cash. Annualized turnover and ROE are the quarterly figures times four. Margins are not annualized. The trailing-twelve-month comparison is on the next sheet.</t>
  </si>
  <si>
    <t>Trailing twelve months, common calendar slot</t>
  </si>
  <si>
    <t>Flows are the four quarters ending Q2 2026. The opening balance is Q2 2025, the quarter before that window. NVIDIA's period ends about four weeks after AMD and Intel. YES tests net margin x turnover x leverage on those totals.</t>
  </si>
  <si>
    <t>TTM revenue</t>
  </si>
  <si>
    <t>TTM operating income</t>
  </si>
  <si>
    <t>TTM net income</t>
  </si>
  <si>
    <t>TTM operating margin</t>
  </si>
  <si>
    <t>TTM net margin</t>
  </si>
  <si>
    <t>TTM ROE</t>
  </si>
  <si>
    <t>TTM asset turnover</t>
  </si>
  <si>
    <t>TTM leverage</t>
  </si>
  <si>
    <t>TTM operating ROA</t>
  </si>
  <si>
    <t>TTM operating ROA on taxed operating income</t>
  </si>
  <si>
    <t>Net debt (net cash) at Q2 2026</t>
  </si>
  <si>
    <t>Check: TTM ROE = margin x turnover x leverage</t>
  </si>
  <si>
    <t>Trailing ROE by window end</t>
  </si>
  <si>
    <t>Window</t>
  </si>
  <si>
    <t>Trailing operating margin by window end</t>
  </si>
  <si>
    <t>The latest window's opening equity is the Q2 2025 column on Sources, and the flows are Q3 2025 through Q2 2026. Earlier windows step back one quarter at a time. Operating ROA is n.m. for AMD because interest income is blank.</t>
  </si>
  <si>
    <t>Twenty-quarter residual income</t>
  </si>
  <si>
    <t>Quarterly revenue, margin, income, and ending equity are values. Residual income, the terminal value, and the price are formulas. Ending equity is not a clean-surplus rollforward: assets are annualized revenue divided by the latest turnover, and equity is that asset total times the latest equity ratio. Cost of equity and terminal growth are the annual model's rates.</t>
  </si>
  <si>
    <t>Cost of equity</t>
  </si>
  <si>
    <t>Terminal growth, annual</t>
  </si>
  <si>
    <t>Terminal growth, quarterly</t>
  </si>
  <si>
    <t>Cost of equity, quarterly</t>
  </si>
  <si>
    <t>Diluted weighted-average shares, millions</t>
  </si>
  <si>
    <t>Opening book equity, latest quarter</t>
  </si>
  <si>
    <t>Starting operating margin (trailing)</t>
  </si>
  <si>
    <t>Target operating margin</t>
  </si>
  <si>
    <t>Net income / operating income</t>
  </si>
  <si>
    <t>Annualized turnover, pinned</t>
  </si>
  <si>
    <t>Equity / assets, pinned</t>
  </si>
  <si>
    <t>First quarter is the $108bn guide, midpoint, with no China data-center compute. Margin glides from the trailing-twelve-month 65% toward 55%.</t>
  </si>
  <si>
    <t>Quarter</t>
  </si>
  <si>
    <t>Operating margin</t>
  </si>
  <si>
    <t>Net income</t>
  </si>
  <si>
    <t>Equity, end</t>
  </si>
  <si>
    <t>Equity, begin</t>
  </si>
  <si>
    <t>Residual income</t>
  </si>
  <si>
    <t>Present value</t>
  </si>
  <si>
    <t>Present value of residual income</t>
  </si>
  <si>
    <t>Terminal value at quarter 20</t>
  </si>
  <si>
    <t>Present value of terminal value</t>
  </si>
  <si>
    <t>Equity value = book + residual income + terminal</t>
  </si>
  <si>
    <t>Value per share</t>
  </si>
  <si>
    <t>Year-1 revenue / trailing revenue - 1</t>
  </si>
  <si>
    <t>Sequential growth steps down from 6%. Net income is operating income taxed at 21%, because quarterly interest income is not disclosed apart from other income.</t>
  </si>
  <si>
    <t>Margin starts at the trailing-twelve-month result, about breakeven, and glides to 10%. The escrowed-share mark is not repeated.</t>
  </si>
  <si>
    <t>Intel sensitivity</t>
  </si>
  <si>
    <t>Same twenty quarters and the same 9.7% cost of equity, with the margin starting at the latest quarter and gliding to 12%. This cell is the computed value, not a second formula block.</t>
  </si>
  <si>
    <t>Sensitivity value per share</t>
  </si>
  <si>
    <t>Sensitivity equity value</t>
  </si>
</sst>
</file>

<file path=xl/styles.xml><?xml version="1.0" encoding="utf-8"?>
<styleSheet xmlns="http://schemas.openxmlformats.org/spreadsheetml/2006/main">
  <numFmts count="3">
    <numFmt numFmtId="164" formatCode="#,##0;(#,##0)"/>
    <numFmt numFmtId="165" formatCode="0.00%"/>
    <numFmt numFmtId="166" formatCode="0.00"/>
  </numFmts>
  <fonts count="7">
    <font>
      <sz val="11"/>
      <color theme="1"/>
      <name val="Calibri"/>
      <family val="2"/>
      <scheme val="minor"/>
    </font>
    <font>
      <b/>
      <sz val="16"/>
      <color rgb="FF1B2A4A"/>
      <name val="Calibri"/>
      <family val="2"/>
      <scheme val="minor"/>
    </font>
    <font>
      <i/>
      <sz val="11"/>
      <color rgb="FF5C6773"/>
      <name val="Calibri"/>
      <family val="2"/>
      <scheme val="minor"/>
    </font>
    <font>
      <b/>
      <sz val="11"/>
      <color rgb="FFFFFFFF"/>
      <name val="Calibri"/>
      <family val="2"/>
      <scheme val="minor"/>
    </font>
    <font>
      <b/>
      <sz val="11"/>
      <color rgb="FF1C2430"/>
      <name val="Calibri"/>
      <family val="2"/>
      <scheme val="minor"/>
    </font>
    <font>
      <b/>
      <sz val="11"/>
      <color theme="1"/>
      <name val="Calibri"/>
      <family val="2"/>
      <scheme val="minor"/>
    </font>
    <font>
      <b/>
      <sz val="11"/>
      <color rgb="FF8C2F39"/>
      <name val="Calibri"/>
      <family val="2"/>
      <scheme val="minor"/>
    </font>
  </fonts>
  <fills count="7">
    <fill>
      <patternFill patternType="none"/>
    </fill>
    <fill>
      <patternFill patternType="gray125"/>
    </fill>
    <fill>
      <patternFill patternType="solid">
        <fgColor rgb="FF1B2A4A"/>
        <bgColor indexed="64"/>
      </patternFill>
    </fill>
    <fill>
      <patternFill patternType="solid">
        <fgColor rgb="FFEEF1F4"/>
        <bgColor indexed="64"/>
      </patternFill>
    </fill>
    <fill>
      <patternFill patternType="solid">
        <fgColor rgb="FF0F6B5C"/>
        <bgColor indexed="64"/>
      </patternFill>
    </fill>
    <fill>
      <patternFill patternType="solid">
        <fgColor rgb="FFD4652F"/>
        <bgColor indexed="64"/>
      </patternFill>
    </fill>
    <fill>
      <patternFill patternType="solid">
        <fgColor rgb="FF1F4E79"/>
        <bgColor indexed="64"/>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2" borderId="0" xfId="0" applyFont="1" applyFill="1" applyAlignment="1">
      <alignment horizontal="center" vertical="center" wrapText="1"/>
    </xf>
    <xf numFmtId="0" fontId="4" fillId="3" borderId="0" xfId="0" applyFont="1" applyFill="1" applyAlignment="1">
      <alignment horizontal="center" vertical="center" wrapText="1"/>
    </xf>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5" fillId="0" borderId="0" xfId="0" applyFont="1"/>
    <xf numFmtId="164" fontId="0" fillId="3" borderId="0" xfId="0" applyNumberFormat="1" applyFill="1"/>
    <xf numFmtId="164" fontId="5" fillId="0" borderId="0" xfId="0" applyNumberFormat="1" applyFont="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5" fontId="5" fillId="0" borderId="0" xfId="0" applyNumberFormat="1" applyFont="1"/>
    <xf numFmtId="0" fontId="6" fillId="0" borderId="0" xfId="0" applyFont="1" applyAlignment="1">
      <alignment horizontal="center"/>
    </xf>
    <xf numFmtId="166" fontId="5" fillId="0" borderId="0" xfId="0" applyNumberFormat="1"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B22"/>
  <sheetViews>
    <sheetView tabSelected="1" workbookViewId="0"/>
  </sheetViews>
  <sheetFormatPr defaultRowHeight="15"/>
  <cols>
    <col min="1" max="1" width="62.7109375" customWidth="1"/>
    <col min="2" max="28" width="14.7109375" customWidth="1"/>
  </cols>
  <sheetData>
    <row r="1" spans="1:28">
      <c r="A1" s="1" t="s">
        <v>0</v>
      </c>
    </row>
    <row r="2" spans="1:28" ht="32" customHeight="1">
      <c r="A2" s="2" t="s">
        <v>1</v>
      </c>
    </row>
    <row r="4" spans="1:28" ht="32" customHeight="1">
      <c r="A4" s="3" t="s">
        <v>2</v>
      </c>
      <c r="B4" s="4" t="s">
        <v>3</v>
      </c>
      <c r="C4" s="5" t="s">
        <v>4</v>
      </c>
      <c r="D4" s="5" t="s">
        <v>5</v>
      </c>
      <c r="E4" s="5" t="s">
        <v>6</v>
      </c>
      <c r="F4" s="5" t="s">
        <v>7</v>
      </c>
      <c r="G4" s="5" t="s">
        <v>8</v>
      </c>
      <c r="H4" s="5" t="s">
        <v>9</v>
      </c>
      <c r="I4" s="5" t="s">
        <v>10</v>
      </c>
      <c r="J4" s="5" t="s">
        <v>11</v>
      </c>
      <c r="K4" s="4" t="s">
        <v>12</v>
      </c>
      <c r="L4" s="6" t="s">
        <v>13</v>
      </c>
      <c r="M4" s="6" t="s">
        <v>14</v>
      </c>
      <c r="N4" s="6" t="s">
        <v>15</v>
      </c>
      <c r="O4" s="6" t="s">
        <v>16</v>
      </c>
      <c r="P4" s="6" t="s">
        <v>17</v>
      </c>
      <c r="Q4" s="6" t="s">
        <v>18</v>
      </c>
      <c r="R4" s="6" t="s">
        <v>19</v>
      </c>
      <c r="S4" s="6" t="s">
        <v>20</v>
      </c>
      <c r="T4" s="4" t="s">
        <v>21</v>
      </c>
      <c r="U4" s="7" t="s">
        <v>22</v>
      </c>
      <c r="V4" s="7" t="s">
        <v>23</v>
      </c>
      <c r="W4" s="7" t="s">
        <v>24</v>
      </c>
      <c r="X4" s="7" t="s">
        <v>25</v>
      </c>
      <c r="Y4" s="7" t="s">
        <v>26</v>
      </c>
      <c r="Z4" s="7" t="s">
        <v>27</v>
      </c>
      <c r="AA4" s="7" t="s">
        <v>28</v>
      </c>
      <c r="AB4" s="7" t="s">
        <v>29</v>
      </c>
    </row>
    <row r="5" spans="1:28">
      <c r="A5" s="8" t="s">
        <v>30</v>
      </c>
      <c r="B5" s="9">
        <v>30040</v>
      </c>
      <c r="C5" s="10">
        <v>35082</v>
      </c>
      <c r="D5" s="10">
        <v>39331</v>
      </c>
      <c r="E5" s="10">
        <v>44062</v>
      </c>
      <c r="F5" s="10">
        <v>46743</v>
      </c>
      <c r="G5" s="10">
        <v>57006</v>
      </c>
      <c r="H5" s="10">
        <v>68127</v>
      </c>
      <c r="I5" s="10">
        <v>81615</v>
      </c>
      <c r="J5" s="10">
        <v>96221</v>
      </c>
      <c r="K5" s="9">
        <v>5835</v>
      </c>
      <c r="L5" s="10">
        <v>6819</v>
      </c>
      <c r="M5" s="10">
        <v>7658</v>
      </c>
      <c r="N5" s="10">
        <v>7438</v>
      </c>
      <c r="O5" s="10">
        <v>7685</v>
      </c>
      <c r="P5" s="10">
        <v>9246</v>
      </c>
      <c r="Q5" s="10">
        <v>10270</v>
      </c>
      <c r="R5" s="10">
        <v>10253</v>
      </c>
      <c r="S5" s="10">
        <v>11536</v>
      </c>
      <c r="T5" s="9">
        <v>12833</v>
      </c>
      <c r="U5" s="10">
        <v>13284</v>
      </c>
      <c r="V5" s="10">
        <v>14260</v>
      </c>
      <c r="W5" s="10">
        <v>12667</v>
      </c>
      <c r="X5" s="10">
        <v>12859</v>
      </c>
      <c r="Y5" s="10">
        <v>13653</v>
      </c>
      <c r="Z5" s="10">
        <v>13674</v>
      </c>
      <c r="AA5" s="10">
        <v>13577</v>
      </c>
      <c r="AB5" s="10">
        <v>16128</v>
      </c>
    </row>
    <row r="6" spans="1:28">
      <c r="A6" s="11" t="s">
        <v>31</v>
      </c>
      <c r="B6" s="9">
        <v>18642</v>
      </c>
      <c r="C6" s="12">
        <v>21869</v>
      </c>
      <c r="D6" s="12">
        <v>24033</v>
      </c>
      <c r="E6" s="12">
        <v>21638</v>
      </c>
      <c r="F6" s="12">
        <v>28440</v>
      </c>
      <c r="G6" s="12">
        <v>36010</v>
      </c>
      <c r="H6" s="12">
        <v>44299</v>
      </c>
      <c r="I6" s="12">
        <v>53536</v>
      </c>
      <c r="J6" s="12">
        <v>63734</v>
      </c>
      <c r="K6" s="9">
        <v>269</v>
      </c>
      <c r="L6" s="12">
        <v>724</v>
      </c>
      <c r="M6" s="12">
        <v>871</v>
      </c>
      <c r="N6" s="12">
        <v>806</v>
      </c>
      <c r="O6" s="12">
        <v>-134</v>
      </c>
      <c r="P6" s="12">
        <v>1270</v>
      </c>
      <c r="Q6" s="12">
        <v>1752</v>
      </c>
      <c r="R6" s="12">
        <v>1476</v>
      </c>
      <c r="S6" s="12">
        <v>1990</v>
      </c>
      <c r="T6" s="9">
        <v>-1964</v>
      </c>
      <c r="U6" s="12">
        <v>-9057</v>
      </c>
      <c r="V6" s="12">
        <v>412</v>
      </c>
      <c r="W6" s="12">
        <v>-301</v>
      </c>
      <c r="X6" s="12">
        <v>-3176</v>
      </c>
      <c r="Y6" s="12">
        <v>683</v>
      </c>
      <c r="Z6" s="12">
        <v>580</v>
      </c>
      <c r="AA6" s="12">
        <v>-3136</v>
      </c>
      <c r="AB6" s="12">
        <v>1796</v>
      </c>
    </row>
    <row r="7" spans="1:28">
      <c r="A7" s="8" t="s">
        <v>32</v>
      </c>
      <c r="B7" s="9">
        <v>16599</v>
      </c>
      <c r="C7" s="10">
        <v>19309</v>
      </c>
      <c r="D7" s="10">
        <v>22091</v>
      </c>
      <c r="E7" s="10">
        <v>18775</v>
      </c>
      <c r="F7" s="10">
        <v>26422</v>
      </c>
      <c r="G7" s="10">
        <v>31910</v>
      </c>
      <c r="H7" s="10">
        <v>42960</v>
      </c>
      <c r="I7" s="10">
        <v>58321</v>
      </c>
      <c r="J7" s="10">
        <v>59688</v>
      </c>
      <c r="K7" s="9">
        <v>265</v>
      </c>
      <c r="L7" s="10">
        <v>771</v>
      </c>
      <c r="M7" s="10">
        <v>482</v>
      </c>
      <c r="N7" s="10">
        <v>709</v>
      </c>
      <c r="O7" s="10">
        <v>872</v>
      </c>
      <c r="P7" s="10">
        <v>1243</v>
      </c>
      <c r="Q7" s="10">
        <v>1511</v>
      </c>
      <c r="R7" s="10">
        <v>1383</v>
      </c>
      <c r="S7" s="10">
        <v>2297</v>
      </c>
      <c r="T7" s="9">
        <v>-1654</v>
      </c>
      <c r="U7" s="10">
        <v>-16989</v>
      </c>
      <c r="V7" s="10">
        <v>-153</v>
      </c>
      <c r="W7" s="10">
        <v>-887</v>
      </c>
      <c r="X7" s="10">
        <v>-3024</v>
      </c>
      <c r="Y7" s="10">
        <v>4270</v>
      </c>
      <c r="Z7" s="10">
        <v>-333</v>
      </c>
      <c r="AA7" s="10">
        <v>-4281</v>
      </c>
      <c r="AB7" s="10">
        <v>-10848</v>
      </c>
    </row>
    <row r="8" spans="1:28">
      <c r="A8" s="11" t="s">
        <v>33</v>
      </c>
      <c r="B8" s="9">
        <v>61</v>
      </c>
      <c r="C8" s="12">
        <v>61</v>
      </c>
      <c r="D8" s="12">
        <v>61</v>
      </c>
      <c r="E8" s="12">
        <v>63</v>
      </c>
      <c r="F8" s="12">
        <v>62</v>
      </c>
      <c r="G8" s="12">
        <v>61</v>
      </c>
      <c r="H8" s="12">
        <v>73</v>
      </c>
      <c r="I8" s="12">
        <v>102</v>
      </c>
      <c r="J8" s="12">
        <v>227</v>
      </c>
      <c r="K8" s="9">
        <v>25</v>
      </c>
      <c r="L8" s="12">
        <v>23</v>
      </c>
      <c r="M8" s="12">
        <v>19</v>
      </c>
      <c r="N8" s="12">
        <v>20</v>
      </c>
      <c r="O8" s="12">
        <v>38</v>
      </c>
      <c r="P8" s="12">
        <v>37</v>
      </c>
      <c r="Q8" s="12">
        <v>36</v>
      </c>
      <c r="R8" s="12">
        <v>37</v>
      </c>
      <c r="S8" s="12">
        <v>37</v>
      </c>
      <c r="T8" s="9">
        <v>294</v>
      </c>
      <c r="U8" s="12">
        <v>248</v>
      </c>
      <c r="V8" s="12">
        <v>234</v>
      </c>
      <c r="W8" s="12">
        <v>299</v>
      </c>
      <c r="X8" s="12">
        <v>227</v>
      </c>
      <c r="Y8" s="12">
        <v>282</v>
      </c>
      <c r="Z8" s="12">
        <v>283</v>
      </c>
      <c r="AA8" s="12">
        <v>264</v>
      </c>
      <c r="AB8" s="12">
        <v>321</v>
      </c>
    </row>
    <row r="9" spans="1:28">
      <c r="A9" s="11" t="s">
        <v>34</v>
      </c>
      <c r="B9" s="9">
        <v>444</v>
      </c>
      <c r="C9" s="12">
        <v>472</v>
      </c>
      <c r="D9" s="12">
        <v>511</v>
      </c>
      <c r="E9" s="12">
        <v>515</v>
      </c>
      <c r="F9" s="12">
        <v>592</v>
      </c>
      <c r="G9" s="12">
        <v>624</v>
      </c>
      <c r="H9" s="12">
        <v>569</v>
      </c>
      <c r="I9" s="12">
        <v>540</v>
      </c>
      <c r="J9" s="12">
        <v>496</v>
      </c>
      <c r="K9" s="9"/>
      <c r="L9" s="12"/>
      <c r="M9" s="12"/>
      <c r="N9" s="12"/>
      <c r="O9" s="12"/>
      <c r="P9" s="12"/>
      <c r="Q9" s="12"/>
      <c r="R9" s="12"/>
      <c r="S9" s="12"/>
      <c r="T9" s="9">
        <v>320</v>
      </c>
      <c r="U9" s="12">
        <v>340</v>
      </c>
      <c r="V9" s="12">
        <v>262</v>
      </c>
      <c r="W9" s="12">
        <v>245</v>
      </c>
      <c r="X9" s="12">
        <v>210</v>
      </c>
      <c r="Y9" s="12">
        <v>228</v>
      </c>
      <c r="Z9" s="12">
        <v>324</v>
      </c>
      <c r="AA9" s="12">
        <v>333</v>
      </c>
      <c r="AB9" s="12">
        <v>334</v>
      </c>
    </row>
    <row r="10" spans="1:28">
      <c r="A10" s="8" t="s">
        <v>35</v>
      </c>
      <c r="B10" s="9">
        <v>85227</v>
      </c>
      <c r="C10" s="12">
        <v>96013</v>
      </c>
      <c r="D10" s="12">
        <v>111601</v>
      </c>
      <c r="E10" s="12">
        <v>125254</v>
      </c>
      <c r="F10" s="12">
        <v>140740</v>
      </c>
      <c r="G10" s="12">
        <v>161148</v>
      </c>
      <c r="H10" s="12">
        <v>206803</v>
      </c>
      <c r="I10" s="12">
        <v>259474</v>
      </c>
      <c r="J10" s="12">
        <v>320272</v>
      </c>
      <c r="K10" s="9">
        <v>67886</v>
      </c>
      <c r="L10" s="12">
        <v>69636</v>
      </c>
      <c r="M10" s="12">
        <v>69226</v>
      </c>
      <c r="N10" s="12">
        <v>71550</v>
      </c>
      <c r="O10" s="12">
        <v>74820</v>
      </c>
      <c r="P10" s="12">
        <v>76891</v>
      </c>
      <c r="Q10" s="12">
        <v>76926</v>
      </c>
      <c r="R10" s="12">
        <v>79642</v>
      </c>
      <c r="S10" s="12">
        <v>84464</v>
      </c>
      <c r="T10" s="9">
        <v>206205</v>
      </c>
      <c r="U10" s="12">
        <v>193542</v>
      </c>
      <c r="V10" s="12">
        <v>196485</v>
      </c>
      <c r="W10" s="12">
        <v>192242</v>
      </c>
      <c r="X10" s="12">
        <v>192520</v>
      </c>
      <c r="Y10" s="12">
        <v>204514</v>
      </c>
      <c r="Z10" s="12">
        <v>211429</v>
      </c>
      <c r="AA10" s="12">
        <v>205332</v>
      </c>
      <c r="AB10" s="12">
        <v>202439</v>
      </c>
    </row>
    <row r="11" spans="1:28">
      <c r="A11" s="8" t="s">
        <v>36</v>
      </c>
      <c r="B11" s="9">
        <v>58157</v>
      </c>
      <c r="C11" s="12">
        <v>65899</v>
      </c>
      <c r="D11" s="12">
        <v>79327</v>
      </c>
      <c r="E11" s="12">
        <v>83843</v>
      </c>
      <c r="F11" s="12">
        <v>100131</v>
      </c>
      <c r="G11" s="12">
        <v>118897</v>
      </c>
      <c r="H11" s="12">
        <v>157293</v>
      </c>
      <c r="I11" s="12">
        <v>195474</v>
      </c>
      <c r="J11" s="12">
        <v>228984</v>
      </c>
      <c r="K11" s="9">
        <v>56538</v>
      </c>
      <c r="L11" s="12">
        <v>56985</v>
      </c>
      <c r="M11" s="12">
        <v>57568</v>
      </c>
      <c r="N11" s="12">
        <v>57881</v>
      </c>
      <c r="O11" s="12">
        <v>59665</v>
      </c>
      <c r="P11" s="12">
        <v>60790</v>
      </c>
      <c r="Q11" s="12">
        <v>62999</v>
      </c>
      <c r="R11" s="12">
        <v>64462</v>
      </c>
      <c r="S11" s="12">
        <v>67224</v>
      </c>
      <c r="T11" s="9">
        <v>120434</v>
      </c>
      <c r="U11" s="12">
        <v>104864</v>
      </c>
      <c r="V11" s="12">
        <v>105032</v>
      </c>
      <c r="W11" s="12">
        <v>106413</v>
      </c>
      <c r="X11" s="12">
        <v>105751</v>
      </c>
      <c r="Y11" s="12">
        <v>116730</v>
      </c>
      <c r="Z11" s="12">
        <v>126360</v>
      </c>
      <c r="AA11" s="12">
        <v>124989</v>
      </c>
      <c r="AB11" s="12">
        <v>103143</v>
      </c>
    </row>
    <row r="12" spans="1:28">
      <c r="A12" s="11" t="s">
        <v>37</v>
      </c>
      <c r="B12" s="9">
        <v>8563</v>
      </c>
      <c r="C12" s="12">
        <v>9107</v>
      </c>
      <c r="D12" s="12">
        <v>8589</v>
      </c>
      <c r="E12" s="12">
        <v>15234</v>
      </c>
      <c r="F12" s="12">
        <v>11639</v>
      </c>
      <c r="G12" s="12">
        <v>11486</v>
      </c>
      <c r="H12" s="12">
        <v>10605</v>
      </c>
      <c r="I12" s="12">
        <v>13237</v>
      </c>
      <c r="J12" s="12">
        <v>22443</v>
      </c>
      <c r="K12" s="9">
        <v>4113</v>
      </c>
      <c r="L12" s="12">
        <v>3897</v>
      </c>
      <c r="M12" s="12">
        <v>3787</v>
      </c>
      <c r="N12" s="12">
        <v>6049</v>
      </c>
      <c r="O12" s="12">
        <v>4442</v>
      </c>
      <c r="P12" s="12">
        <v>4808</v>
      </c>
      <c r="Q12" s="12">
        <v>5539</v>
      </c>
      <c r="R12" s="12">
        <v>5585</v>
      </c>
      <c r="S12" s="12">
        <v>5086</v>
      </c>
      <c r="T12" s="9">
        <v>11287</v>
      </c>
      <c r="U12" s="12">
        <v>8785</v>
      </c>
      <c r="V12" s="12">
        <v>8249</v>
      </c>
      <c r="W12" s="12">
        <v>8947</v>
      </c>
      <c r="X12" s="12">
        <v>9643</v>
      </c>
      <c r="Y12" s="12">
        <v>11141</v>
      </c>
      <c r="Z12" s="12">
        <v>14265</v>
      </c>
      <c r="AA12" s="12">
        <v>17247</v>
      </c>
      <c r="AB12" s="12">
        <v>12874</v>
      </c>
    </row>
    <row r="13" spans="1:28">
      <c r="A13" s="11" t="s">
        <v>38</v>
      </c>
      <c r="B13" s="9">
        <v>26237</v>
      </c>
      <c r="C13" s="12">
        <v>29380</v>
      </c>
      <c r="D13" s="12">
        <v>34621</v>
      </c>
      <c r="E13" s="12">
        <v>38457</v>
      </c>
      <c r="F13" s="12">
        <v>45152</v>
      </c>
      <c r="G13" s="12">
        <v>49122</v>
      </c>
      <c r="H13" s="12">
        <v>51951</v>
      </c>
      <c r="I13" s="12">
        <v>67335</v>
      </c>
      <c r="J13" s="12">
        <v>76926</v>
      </c>
      <c r="K13" s="9">
        <v>1227</v>
      </c>
      <c r="L13" s="12">
        <v>647</v>
      </c>
      <c r="M13" s="12">
        <v>1345</v>
      </c>
      <c r="N13" s="12">
        <v>1261</v>
      </c>
      <c r="O13" s="12">
        <v>1425</v>
      </c>
      <c r="P13" s="12">
        <v>2435</v>
      </c>
      <c r="Q13" s="12">
        <v>5013</v>
      </c>
      <c r="R13" s="12">
        <v>6762</v>
      </c>
      <c r="S13" s="12">
        <v>8025</v>
      </c>
      <c r="T13" s="9">
        <v>17986</v>
      </c>
      <c r="U13" s="12">
        <v>15301</v>
      </c>
      <c r="V13" s="12">
        <v>13813</v>
      </c>
      <c r="W13" s="12">
        <v>12101</v>
      </c>
      <c r="X13" s="12">
        <v>11563</v>
      </c>
      <c r="Y13" s="12">
        <v>19794</v>
      </c>
      <c r="Z13" s="12">
        <v>23151</v>
      </c>
      <c r="AA13" s="12">
        <v>15542</v>
      </c>
      <c r="AB13" s="12">
        <v>16853</v>
      </c>
    </row>
    <row r="14" spans="1:28">
      <c r="A14" s="11" t="s">
        <v>39</v>
      </c>
      <c r="B14" s="9">
        <v>8461</v>
      </c>
      <c r="C14" s="12">
        <v>8462</v>
      </c>
      <c r="D14" s="12">
        <v>8463</v>
      </c>
      <c r="E14" s="12">
        <v>8464</v>
      </c>
      <c r="F14" s="12">
        <v>8466</v>
      </c>
      <c r="G14" s="12">
        <v>8467</v>
      </c>
      <c r="H14" s="12">
        <v>8468</v>
      </c>
      <c r="I14" s="12">
        <v>8470</v>
      </c>
      <c r="J14" s="12">
        <v>33366</v>
      </c>
      <c r="K14" s="9">
        <v>1719</v>
      </c>
      <c r="L14" s="12">
        <v>1720</v>
      </c>
      <c r="M14" s="12">
        <v>1721</v>
      </c>
      <c r="N14" s="12">
        <v>4164</v>
      </c>
      <c r="O14" s="12">
        <v>3218</v>
      </c>
      <c r="P14" s="12">
        <v>3220</v>
      </c>
      <c r="Q14" s="12">
        <v>3222</v>
      </c>
      <c r="R14" s="12">
        <v>3224</v>
      </c>
      <c r="S14" s="12">
        <v>3226</v>
      </c>
      <c r="T14" s="9">
        <v>53029</v>
      </c>
      <c r="U14" s="12">
        <v>50236</v>
      </c>
      <c r="V14" s="12">
        <v>50011</v>
      </c>
      <c r="W14" s="12">
        <v>50151</v>
      </c>
      <c r="X14" s="12">
        <v>50757</v>
      </c>
      <c r="Y14" s="12">
        <v>46553</v>
      </c>
      <c r="Z14" s="12">
        <v>46585</v>
      </c>
      <c r="AA14" s="12">
        <v>45031</v>
      </c>
      <c r="AB14" s="12">
        <v>50537</v>
      </c>
    </row>
    <row r="15" spans="1:28">
      <c r="A15" s="11" t="s">
        <v>40</v>
      </c>
      <c r="B15" s="9">
        <v>1304</v>
      </c>
      <c r="C15" s="12">
        <v>1490</v>
      </c>
      <c r="D15" s="12">
        <v>1519</v>
      </c>
      <c r="E15" s="12">
        <v>1521</v>
      </c>
      <c r="F15" s="12">
        <v>1831</v>
      </c>
      <c r="G15" s="12">
        <v>2014</v>
      </c>
      <c r="H15" s="12">
        <v>2572</v>
      </c>
      <c r="I15" s="12">
        <v>3878</v>
      </c>
      <c r="J15" s="12">
        <v>4985</v>
      </c>
      <c r="K15" s="9">
        <v>526</v>
      </c>
      <c r="L15" s="12">
        <v>518</v>
      </c>
      <c r="M15" s="12">
        <v>491</v>
      </c>
      <c r="N15" s="12">
        <v>567</v>
      </c>
      <c r="O15" s="12">
        <v>668</v>
      </c>
      <c r="P15" s="12">
        <v>650</v>
      </c>
      <c r="Q15" s="12">
        <v>625</v>
      </c>
      <c r="R15" s="12">
        <v>647</v>
      </c>
      <c r="S15" s="12">
        <v>1050</v>
      </c>
      <c r="T15" s="9">
        <v>0</v>
      </c>
      <c r="U15" s="12">
        <v>0</v>
      </c>
      <c r="V15" s="12">
        <v>0</v>
      </c>
      <c r="W15" s="12">
        <v>0</v>
      </c>
      <c r="X15" s="12">
        <v>0</v>
      </c>
      <c r="Y15" s="12">
        <v>0</v>
      </c>
      <c r="Z15" s="12">
        <v>0</v>
      </c>
      <c r="AA15" s="12">
        <v>0</v>
      </c>
      <c r="AB15" s="12">
        <v>0</v>
      </c>
    </row>
    <row r="16" spans="1:28">
      <c r="A16" s="11" t="s">
        <v>41</v>
      </c>
      <c r="B16" s="9">
        <v>14488</v>
      </c>
      <c r="C16" s="12">
        <v>17627</v>
      </c>
      <c r="D16" s="12">
        <v>16629</v>
      </c>
      <c r="E16" s="12">
        <v>27414</v>
      </c>
      <c r="F16" s="12">
        <v>15365</v>
      </c>
      <c r="G16" s="12">
        <v>23751</v>
      </c>
      <c r="H16" s="12">
        <v>36188</v>
      </c>
      <c r="I16" s="12">
        <v>50344</v>
      </c>
      <c r="J16" s="12">
        <v>24077</v>
      </c>
      <c r="K16" s="9">
        <v>593</v>
      </c>
      <c r="L16" s="12">
        <v>628</v>
      </c>
      <c r="M16" s="12">
        <v>1299</v>
      </c>
      <c r="N16" s="12">
        <v>939</v>
      </c>
      <c r="O16" s="12">
        <v>2011</v>
      </c>
      <c r="P16" s="12">
        <v>2159</v>
      </c>
      <c r="Q16" s="12">
        <v>2600</v>
      </c>
      <c r="R16" s="12">
        <v>2955</v>
      </c>
      <c r="S16" s="12">
        <v>2366</v>
      </c>
      <c r="T16" s="9">
        <v>2292</v>
      </c>
      <c r="U16" s="12">
        <v>4054</v>
      </c>
      <c r="V16" s="12">
        <v>3165</v>
      </c>
      <c r="W16" s="12">
        <v>813</v>
      </c>
      <c r="X16" s="12">
        <v>2050</v>
      </c>
      <c r="Y16" s="12">
        <v>2546</v>
      </c>
      <c r="Z16" s="12">
        <v>4288</v>
      </c>
      <c r="AA16" s="12">
        <v>1096</v>
      </c>
      <c r="AB16" s="12">
        <v>7006</v>
      </c>
    </row>
    <row r="17" spans="1:28">
      <c r="A17" s="11" t="s">
        <v>42</v>
      </c>
      <c r="B17" s="9">
        <v>977</v>
      </c>
      <c r="C17" s="12">
        <v>813</v>
      </c>
      <c r="D17" s="12">
        <v>1077</v>
      </c>
      <c r="E17" s="12">
        <v>1227</v>
      </c>
      <c r="F17" s="12">
        <v>1895</v>
      </c>
      <c r="G17" s="12">
        <v>1636</v>
      </c>
      <c r="H17" s="12">
        <v>1284</v>
      </c>
      <c r="I17" s="12">
        <v>1757</v>
      </c>
      <c r="J17" s="12">
        <v>2677</v>
      </c>
      <c r="K17" s="9">
        <v>154</v>
      </c>
      <c r="L17" s="12">
        <v>132</v>
      </c>
      <c r="M17" s="12">
        <v>208</v>
      </c>
      <c r="N17" s="12">
        <v>212</v>
      </c>
      <c r="O17" s="12">
        <v>282</v>
      </c>
      <c r="P17" s="12">
        <v>258</v>
      </c>
      <c r="Q17" s="12">
        <v>222</v>
      </c>
      <c r="R17" s="12">
        <v>389</v>
      </c>
      <c r="S17" s="12">
        <v>808</v>
      </c>
      <c r="T17" s="9">
        <v>5682</v>
      </c>
      <c r="U17" s="12">
        <v>6458</v>
      </c>
      <c r="V17" s="12">
        <v>5834</v>
      </c>
      <c r="W17" s="12">
        <v>5183</v>
      </c>
      <c r="X17" s="12">
        <v>3550</v>
      </c>
      <c r="Y17" s="12">
        <v>2425</v>
      </c>
      <c r="Z17" s="12">
        <v>3488</v>
      </c>
      <c r="AA17" s="12">
        <v>3636</v>
      </c>
      <c r="AB17" s="12">
        <v>2556</v>
      </c>
    </row>
    <row r="18" spans="1:28">
      <c r="A18" s="8" t="s">
        <v>43</v>
      </c>
      <c r="B18" s="9">
        <f>B14+B15-B12-B13</f>
        <v>0</v>
      </c>
      <c r="C18" s="12">
        <f>C14+C15-C12-C13</f>
        <v>0</v>
      </c>
      <c r="D18" s="12">
        <f>D14+D15-D12-D13</f>
        <v>0</v>
      </c>
      <c r="E18" s="12">
        <f>E14+E15-E12-E13</f>
        <v>0</v>
      </c>
      <c r="F18" s="12">
        <f>F14+F15-F12-F13</f>
        <v>0</v>
      </c>
      <c r="G18" s="12">
        <f>G14+G15-G12-G13</f>
        <v>0</v>
      </c>
      <c r="H18" s="12">
        <f>H14+H15-H12-H13</f>
        <v>0</v>
      </c>
      <c r="I18" s="12">
        <f>I14+I15-I12-I13</f>
        <v>0</v>
      </c>
      <c r="J18" s="12">
        <f>J14+J15-J12-J13</f>
        <v>0</v>
      </c>
      <c r="K18" s="9">
        <f>K14+K15-K12-K13</f>
        <v>0</v>
      </c>
      <c r="L18" s="12">
        <f>L14+L15-L12-L13</f>
        <v>0</v>
      </c>
      <c r="M18" s="12">
        <f>M14+M15-M12-M13</f>
        <v>0</v>
      </c>
      <c r="N18" s="12">
        <f>N14+N15-N12-N13</f>
        <v>0</v>
      </c>
      <c r="O18" s="12">
        <f>O14+O15-O12-O13</f>
        <v>0</v>
      </c>
      <c r="P18" s="12">
        <f>P14+P15-P12-P13</f>
        <v>0</v>
      </c>
      <c r="Q18" s="12">
        <f>Q14+Q15-Q12-Q13</f>
        <v>0</v>
      </c>
      <c r="R18" s="12">
        <f>R14+R15-R12-R13</f>
        <v>0</v>
      </c>
      <c r="S18" s="12">
        <f>S14+S15-S12-S13</f>
        <v>0</v>
      </c>
      <c r="T18" s="9">
        <f>T14+T15-T12-T13</f>
        <v>0</v>
      </c>
      <c r="U18" s="12">
        <f>U14+U15-U12-U13</f>
        <v>0</v>
      </c>
      <c r="V18" s="12">
        <f>V14+V15-V12-V13</f>
        <v>0</v>
      </c>
      <c r="W18" s="12">
        <f>W14+W15-W12-W13</f>
        <v>0</v>
      </c>
      <c r="X18" s="12">
        <f>X14+X15-X12-X13</f>
        <v>0</v>
      </c>
      <c r="Y18" s="12">
        <f>Y14+Y15-Y12-Y13</f>
        <v>0</v>
      </c>
      <c r="Z18" s="12">
        <f>Z14+Z15-Z12-Z13</f>
        <v>0</v>
      </c>
      <c r="AA18" s="12">
        <f>AA14+AA15-AA12-AA13</f>
        <v>0</v>
      </c>
      <c r="AB18" s="12">
        <f>AB14+AB15-AB12-AB13</f>
        <v>0</v>
      </c>
    </row>
    <row r="19" spans="1:28">
      <c r="A19" s="11" t="s">
        <v>44</v>
      </c>
      <c r="B19" s="9">
        <f>IF(COUNTA(B9)=0,"",(B8-B9)*(1-0.21))</f>
        <v>0</v>
      </c>
      <c r="C19" s="12">
        <f>IF(COUNTA(C9)=0,"",(C8-C9)*(1-0.21))</f>
        <v>0</v>
      </c>
      <c r="D19" s="12">
        <f>IF(COUNTA(D9)=0,"",(D8-D9)*(1-0.21))</f>
        <v>0</v>
      </c>
      <c r="E19" s="12">
        <f>IF(COUNTA(E9)=0,"",(E8-E9)*(1-0.21))</f>
        <v>0</v>
      </c>
      <c r="F19" s="12">
        <f>IF(COUNTA(F9)=0,"",(F8-F9)*(1-0.21))</f>
        <v>0</v>
      </c>
      <c r="G19" s="12">
        <f>IF(COUNTA(G9)=0,"",(G8-G9)*(1-0.21))</f>
        <v>0</v>
      </c>
      <c r="H19" s="12">
        <f>IF(COUNTA(H9)=0,"",(H8-H9)*(1-0.21))</f>
        <v>0</v>
      </c>
      <c r="I19" s="12">
        <f>IF(COUNTA(I9)=0,"",(I8-I9)*(1-0.21))</f>
        <v>0</v>
      </c>
      <c r="J19" s="12">
        <f>IF(COUNTA(J9)=0,"",(J8-J9)*(1-0.21))</f>
        <v>0</v>
      </c>
      <c r="K19" s="9">
        <f>IF(COUNTA(K9)=0,"",(K8-K9)*(1-0.21))</f>
        <v>0</v>
      </c>
      <c r="L19" s="12">
        <f>IF(COUNTA(L9)=0,"",(L8-L9)*(1-0.21))</f>
        <v>0</v>
      </c>
      <c r="M19" s="12">
        <f>IF(COUNTA(M9)=0,"",(M8-M9)*(1-0.21))</f>
        <v>0</v>
      </c>
      <c r="N19" s="12">
        <f>IF(COUNTA(N9)=0,"",(N8-N9)*(1-0.21))</f>
        <v>0</v>
      </c>
      <c r="O19" s="12">
        <f>IF(COUNTA(O9)=0,"",(O8-O9)*(1-0.21))</f>
        <v>0</v>
      </c>
      <c r="P19" s="12">
        <f>IF(COUNTA(P9)=0,"",(P8-P9)*(1-0.21))</f>
        <v>0</v>
      </c>
      <c r="Q19" s="12">
        <f>IF(COUNTA(Q9)=0,"",(Q8-Q9)*(1-0.21))</f>
        <v>0</v>
      </c>
      <c r="R19" s="12">
        <f>IF(COUNTA(R9)=0,"",(R8-R9)*(1-0.21))</f>
        <v>0</v>
      </c>
      <c r="S19" s="12">
        <f>IF(COUNTA(S9)=0,"",(S8-S9)*(1-0.21))</f>
        <v>0</v>
      </c>
      <c r="T19" s="9">
        <f>IF(COUNTA(T9)=0,"",(T8-T9)*(1-0.21))</f>
        <v>0</v>
      </c>
      <c r="U19" s="12">
        <f>IF(COUNTA(U9)=0,"",(U8-U9)*(1-0.21))</f>
        <v>0</v>
      </c>
      <c r="V19" s="12">
        <f>IF(COUNTA(V9)=0,"",(V8-V9)*(1-0.21))</f>
        <v>0</v>
      </c>
      <c r="W19" s="12">
        <f>IF(COUNTA(W9)=0,"",(W8-W9)*(1-0.21))</f>
        <v>0</v>
      </c>
      <c r="X19" s="12">
        <f>IF(COUNTA(X9)=0,"",(X8-X9)*(1-0.21))</f>
        <v>0</v>
      </c>
      <c r="Y19" s="12">
        <f>IF(COUNTA(Y9)=0,"",(Y8-Y9)*(1-0.21))</f>
        <v>0</v>
      </c>
      <c r="Z19" s="12">
        <f>IF(COUNTA(Z9)=0,"",(Z8-Z9)*(1-0.21))</f>
        <v>0</v>
      </c>
      <c r="AA19" s="12">
        <f>IF(COUNTA(AA9)=0,"",(AA8-AA9)*(1-0.21))</f>
        <v>0</v>
      </c>
      <c r="AB19" s="12">
        <f>IF(COUNTA(AB9)=0,"",(AB8-AB9)*(1-0.21))</f>
        <v>0</v>
      </c>
    </row>
    <row r="20" spans="1:28">
      <c r="A20" s="8" t="s">
        <v>45</v>
      </c>
      <c r="B20" s="9">
        <f>IF(COUNTA(B9)=0,"",B7+B19)</f>
        <v>0</v>
      </c>
      <c r="C20" s="10">
        <f>IF(COUNTA(C9)=0,"",C7+C19)</f>
        <v>0</v>
      </c>
      <c r="D20" s="10">
        <f>IF(COUNTA(D9)=0,"",D7+D19)</f>
        <v>0</v>
      </c>
      <c r="E20" s="10">
        <f>IF(COUNTA(E9)=0,"",E7+E19)</f>
        <v>0</v>
      </c>
      <c r="F20" s="10">
        <f>IF(COUNTA(F9)=0,"",F7+F19)</f>
        <v>0</v>
      </c>
      <c r="G20" s="10">
        <f>IF(COUNTA(G9)=0,"",G7+G19)</f>
        <v>0</v>
      </c>
      <c r="H20" s="10">
        <f>IF(COUNTA(H9)=0,"",H7+H19)</f>
        <v>0</v>
      </c>
      <c r="I20" s="10">
        <f>IF(COUNTA(I9)=0,"",I7+I19)</f>
        <v>0</v>
      </c>
      <c r="J20" s="10">
        <f>IF(COUNTA(J9)=0,"",J7+J19)</f>
        <v>0</v>
      </c>
      <c r="K20" s="9">
        <f>IF(COUNTA(K9)=0,"",K7+K19)</f>
        <v>0</v>
      </c>
      <c r="L20" s="10">
        <f>IF(COUNTA(L9)=0,"",L7+L19)</f>
        <v>0</v>
      </c>
      <c r="M20" s="10">
        <f>IF(COUNTA(M9)=0,"",M7+M19)</f>
        <v>0</v>
      </c>
      <c r="N20" s="10">
        <f>IF(COUNTA(N9)=0,"",N7+N19)</f>
        <v>0</v>
      </c>
      <c r="O20" s="10">
        <f>IF(COUNTA(O9)=0,"",O7+O19)</f>
        <v>0</v>
      </c>
      <c r="P20" s="10">
        <f>IF(COUNTA(P9)=0,"",P7+P19)</f>
        <v>0</v>
      </c>
      <c r="Q20" s="10">
        <f>IF(COUNTA(Q9)=0,"",Q7+Q19)</f>
        <v>0</v>
      </c>
      <c r="R20" s="10">
        <f>IF(COUNTA(R9)=0,"",R7+R19)</f>
        <v>0</v>
      </c>
      <c r="S20" s="10">
        <f>IF(COUNTA(S9)=0,"",S7+S19)</f>
        <v>0</v>
      </c>
      <c r="T20" s="9">
        <f>IF(COUNTA(T9)=0,"",T7+T19)</f>
        <v>0</v>
      </c>
      <c r="U20" s="10">
        <f>IF(COUNTA(U9)=0,"",U7+U19)</f>
        <v>0</v>
      </c>
      <c r="V20" s="10">
        <f>IF(COUNTA(V9)=0,"",V7+V19)</f>
        <v>0</v>
      </c>
      <c r="W20" s="10">
        <f>IF(COUNTA(W9)=0,"",W7+W19)</f>
        <v>0</v>
      </c>
      <c r="X20" s="10">
        <f>IF(COUNTA(X9)=0,"",X7+X19)</f>
        <v>0</v>
      </c>
      <c r="Y20" s="10">
        <f>IF(COUNTA(Y9)=0,"",Y7+Y19)</f>
        <v>0</v>
      </c>
      <c r="Z20" s="10">
        <f>IF(COUNTA(Z9)=0,"",Z7+Z19)</f>
        <v>0</v>
      </c>
      <c r="AA20" s="10">
        <f>IF(COUNTA(AA9)=0,"",AA7+AA19)</f>
        <v>0</v>
      </c>
      <c r="AB20" s="10">
        <f>IF(COUNTA(AB9)=0,"",AB7+AB19)</f>
        <v>0</v>
      </c>
    </row>
    <row r="22" spans="1:28" ht="72" customHeight="1">
      <c r="A22" s="2" t="s">
        <v>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B3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8.7109375" customWidth="1"/>
    <col min="2" max="28" width="14.7109375" customWidth="1"/>
  </cols>
  <sheetData>
    <row r="1" spans="1:28">
      <c r="A1" s="1" t="s">
        <v>47</v>
      </c>
    </row>
    <row r="2" spans="1:28" ht="32" customHeight="1">
      <c r="A2" s="2" t="s">
        <v>48</v>
      </c>
    </row>
    <row r="3" spans="1:28">
      <c r="B3" s="5" t="s">
        <v>50</v>
      </c>
      <c r="C3" s="5"/>
      <c r="D3" s="5"/>
      <c r="E3" s="5"/>
      <c r="F3" s="5"/>
      <c r="G3" s="5"/>
      <c r="H3" s="5"/>
      <c r="I3" s="5"/>
      <c r="J3" s="5"/>
      <c r="K3" s="6" t="s">
        <v>60</v>
      </c>
      <c r="L3" s="6"/>
      <c r="M3" s="6"/>
      <c r="N3" s="6"/>
      <c r="O3" s="6"/>
      <c r="P3" s="6"/>
      <c r="Q3" s="6"/>
      <c r="R3" s="6"/>
      <c r="S3" s="6"/>
      <c r="T3" s="7" t="s">
        <v>61</v>
      </c>
      <c r="U3" s="7"/>
      <c r="V3" s="7"/>
      <c r="W3" s="7"/>
      <c r="X3" s="7"/>
      <c r="Y3" s="7"/>
      <c r="Z3" s="7"/>
      <c r="AA3" s="7"/>
      <c r="AB3" s="7"/>
    </row>
    <row r="4" spans="1:28">
      <c r="A4" s="3" t="s">
        <v>49</v>
      </c>
      <c r="B4" s="4" t="s">
        <v>51</v>
      </c>
      <c r="C4" s="3" t="s">
        <v>52</v>
      </c>
      <c r="D4" s="3" t="s">
        <v>53</v>
      </c>
      <c r="E4" s="3" t="s">
        <v>54</v>
      </c>
      <c r="F4" s="3" t="s">
        <v>55</v>
      </c>
      <c r="G4" s="3" t="s">
        <v>56</v>
      </c>
      <c r="H4" s="3" t="s">
        <v>57</v>
      </c>
      <c r="I4" s="3" t="s">
        <v>58</v>
      </c>
      <c r="J4" s="3" t="s">
        <v>59</v>
      </c>
      <c r="K4" s="4" t="s">
        <v>51</v>
      </c>
      <c r="L4" s="3" t="s">
        <v>52</v>
      </c>
      <c r="M4" s="3" t="s">
        <v>53</v>
      </c>
      <c r="N4" s="3" t="s">
        <v>54</v>
      </c>
      <c r="O4" s="3" t="s">
        <v>55</v>
      </c>
      <c r="P4" s="3" t="s">
        <v>56</v>
      </c>
      <c r="Q4" s="3" t="s">
        <v>57</v>
      </c>
      <c r="R4" s="3" t="s">
        <v>58</v>
      </c>
      <c r="S4" s="3" t="s">
        <v>59</v>
      </c>
      <c r="T4" s="4" t="s">
        <v>51</v>
      </c>
      <c r="U4" s="3" t="s">
        <v>52</v>
      </c>
      <c r="V4" s="3" t="s">
        <v>53</v>
      </c>
      <c r="W4" s="3" t="s">
        <v>54</v>
      </c>
      <c r="X4" s="3" t="s">
        <v>55</v>
      </c>
      <c r="Y4" s="3" t="s">
        <v>56</v>
      </c>
      <c r="Z4" s="3" t="s">
        <v>57</v>
      </c>
      <c r="AA4" s="3" t="s">
        <v>58</v>
      </c>
      <c r="AB4" s="3" t="s">
        <v>59</v>
      </c>
    </row>
    <row r="6" spans="1:28">
      <c r="A6" s="8" t="s">
        <v>62</v>
      </c>
    </row>
    <row r="7" spans="1:28">
      <c r="A7" s="11" t="s">
        <v>63</v>
      </c>
      <c r="B7" s="9"/>
      <c r="C7" s="13">
        <f>Sources!C7/Sources!C5</f>
        <v>0</v>
      </c>
      <c r="D7" s="13">
        <f>Sources!D7/Sources!D5</f>
        <v>0</v>
      </c>
      <c r="E7" s="13">
        <f>Sources!E7/Sources!E5</f>
        <v>0</v>
      </c>
      <c r="F7" s="13">
        <f>Sources!F7/Sources!F5</f>
        <v>0</v>
      </c>
      <c r="G7" s="13">
        <f>Sources!G7/Sources!G5</f>
        <v>0</v>
      </c>
      <c r="H7" s="13">
        <f>Sources!H7/Sources!H5</f>
        <v>0</v>
      </c>
      <c r="I7" s="13">
        <f>Sources!I7/Sources!I5</f>
        <v>0</v>
      </c>
      <c r="J7" s="13">
        <f>Sources!J7/Sources!J5</f>
        <v>0</v>
      </c>
      <c r="K7" s="9"/>
      <c r="L7" s="13">
        <f>Sources!L7/Sources!L5</f>
        <v>0</v>
      </c>
      <c r="M7" s="13">
        <f>Sources!M7/Sources!M5</f>
        <v>0</v>
      </c>
      <c r="N7" s="13">
        <f>Sources!N7/Sources!N5</f>
        <v>0</v>
      </c>
      <c r="O7" s="13">
        <f>Sources!O7/Sources!O5</f>
        <v>0</v>
      </c>
      <c r="P7" s="13">
        <f>Sources!P7/Sources!P5</f>
        <v>0</v>
      </c>
      <c r="Q7" s="13">
        <f>Sources!Q7/Sources!Q5</f>
        <v>0</v>
      </c>
      <c r="R7" s="13">
        <f>Sources!R7/Sources!R5</f>
        <v>0</v>
      </c>
      <c r="S7" s="13">
        <f>Sources!S7/Sources!S5</f>
        <v>0</v>
      </c>
      <c r="T7" s="9"/>
      <c r="U7" s="13">
        <f>Sources!U7/Sources!U5</f>
        <v>0</v>
      </c>
      <c r="V7" s="13">
        <f>Sources!V7/Sources!V5</f>
        <v>0</v>
      </c>
      <c r="W7" s="13">
        <f>Sources!W7/Sources!W5</f>
        <v>0</v>
      </c>
      <c r="X7" s="13">
        <f>Sources!X7/Sources!X5</f>
        <v>0</v>
      </c>
      <c r="Y7" s="13">
        <f>Sources!Y7/Sources!Y5</f>
        <v>0</v>
      </c>
      <c r="Z7" s="13">
        <f>Sources!Z7/Sources!Z5</f>
        <v>0</v>
      </c>
      <c r="AA7" s="13">
        <f>Sources!AA7/Sources!AA5</f>
        <v>0</v>
      </c>
      <c r="AB7" s="13">
        <f>Sources!AB7/Sources!AB5</f>
        <v>0</v>
      </c>
    </row>
    <row r="8" spans="1:28">
      <c r="A8" s="11" t="s">
        <v>64</v>
      </c>
      <c r="B8" s="9"/>
      <c r="C8" s="14">
        <f>Sources!C5/(((Sources!B10)+(Sources!C10))/2)</f>
        <v>0</v>
      </c>
      <c r="D8" s="14">
        <f>Sources!D5/(((Sources!C10)+(Sources!D10))/2)</f>
        <v>0</v>
      </c>
      <c r="E8" s="14">
        <f>Sources!E5/(((Sources!D10)+(Sources!E10))/2)</f>
        <v>0</v>
      </c>
      <c r="F8" s="14">
        <f>Sources!F5/(((Sources!E10)+(Sources!F10))/2)</f>
        <v>0</v>
      </c>
      <c r="G8" s="14">
        <f>Sources!G5/(((Sources!F10)+(Sources!G10))/2)</f>
        <v>0</v>
      </c>
      <c r="H8" s="14">
        <f>Sources!H5/(((Sources!G10)+(Sources!H10))/2)</f>
        <v>0</v>
      </c>
      <c r="I8" s="14">
        <f>Sources!I5/(((Sources!H10)+(Sources!I10))/2)</f>
        <v>0</v>
      </c>
      <c r="J8" s="14">
        <f>Sources!J5/(((Sources!I10)+(Sources!J10))/2)</f>
        <v>0</v>
      </c>
      <c r="K8" s="9"/>
      <c r="L8" s="14">
        <f>Sources!L5/(((Sources!K10)+(Sources!L10))/2)</f>
        <v>0</v>
      </c>
      <c r="M8" s="14">
        <f>Sources!M5/(((Sources!L10)+(Sources!M10))/2)</f>
        <v>0</v>
      </c>
      <c r="N8" s="14">
        <f>Sources!N5/(((Sources!M10)+(Sources!N10))/2)</f>
        <v>0</v>
      </c>
      <c r="O8" s="14">
        <f>Sources!O5/(((Sources!N10)+(Sources!O10))/2)</f>
        <v>0</v>
      </c>
      <c r="P8" s="14">
        <f>Sources!P5/(((Sources!O10)+(Sources!P10))/2)</f>
        <v>0</v>
      </c>
      <c r="Q8" s="14">
        <f>Sources!Q5/(((Sources!P10)+(Sources!Q10))/2)</f>
        <v>0</v>
      </c>
      <c r="R8" s="14">
        <f>Sources!R5/(((Sources!Q10)+(Sources!R10))/2)</f>
        <v>0</v>
      </c>
      <c r="S8" s="14">
        <f>Sources!S5/(((Sources!R10)+(Sources!S10))/2)</f>
        <v>0</v>
      </c>
      <c r="T8" s="9"/>
      <c r="U8" s="14">
        <f>Sources!U5/(((Sources!T10)+(Sources!U10))/2)</f>
        <v>0</v>
      </c>
      <c r="V8" s="14">
        <f>Sources!V5/(((Sources!U10)+(Sources!V10))/2)</f>
        <v>0</v>
      </c>
      <c r="W8" s="14">
        <f>Sources!W5/(((Sources!V10)+(Sources!W10))/2)</f>
        <v>0</v>
      </c>
      <c r="X8" s="14">
        <f>Sources!X5/(((Sources!W10)+(Sources!X10))/2)</f>
        <v>0</v>
      </c>
      <c r="Y8" s="14">
        <f>Sources!Y5/(((Sources!X10)+(Sources!Y10))/2)</f>
        <v>0</v>
      </c>
      <c r="Z8" s="14">
        <f>Sources!Z5/(((Sources!Y10)+(Sources!Z10))/2)</f>
        <v>0</v>
      </c>
      <c r="AA8" s="14">
        <f>Sources!AA5/(((Sources!Z10)+(Sources!AA10))/2)</f>
        <v>0</v>
      </c>
      <c r="AB8" s="14">
        <f>Sources!AB5/(((Sources!AA10)+(Sources!AB10))/2)</f>
        <v>0</v>
      </c>
    </row>
    <row r="9" spans="1:28">
      <c r="A9" s="11" t="s">
        <v>65</v>
      </c>
      <c r="B9" s="9"/>
      <c r="C9" s="14">
        <f>(((Sources!B10)+(Sources!C10))/2)/(((Sources!B11)+(Sources!C11))/2)</f>
        <v>0</v>
      </c>
      <c r="D9" s="14">
        <f>(((Sources!C10)+(Sources!D10))/2)/(((Sources!C11)+(Sources!D11))/2)</f>
        <v>0</v>
      </c>
      <c r="E9" s="14">
        <f>(((Sources!D10)+(Sources!E10))/2)/(((Sources!D11)+(Sources!E11))/2)</f>
        <v>0</v>
      </c>
      <c r="F9" s="14">
        <f>(((Sources!E10)+(Sources!F10))/2)/(((Sources!E11)+(Sources!F11))/2)</f>
        <v>0</v>
      </c>
      <c r="G9" s="14">
        <f>(((Sources!F10)+(Sources!G10))/2)/(((Sources!F11)+(Sources!G11))/2)</f>
        <v>0</v>
      </c>
      <c r="H9" s="14">
        <f>(((Sources!G10)+(Sources!H10))/2)/(((Sources!G11)+(Sources!H11))/2)</f>
        <v>0</v>
      </c>
      <c r="I9" s="14">
        <f>(((Sources!H10)+(Sources!I10))/2)/(((Sources!H11)+(Sources!I11))/2)</f>
        <v>0</v>
      </c>
      <c r="J9" s="14">
        <f>(((Sources!I10)+(Sources!J10))/2)/(((Sources!I11)+(Sources!J11))/2)</f>
        <v>0</v>
      </c>
      <c r="K9" s="9"/>
      <c r="L9" s="14">
        <f>(((Sources!K10)+(Sources!L10))/2)/(((Sources!K11)+(Sources!L11))/2)</f>
        <v>0</v>
      </c>
      <c r="M9" s="14">
        <f>(((Sources!L10)+(Sources!M10))/2)/(((Sources!L11)+(Sources!M11))/2)</f>
        <v>0</v>
      </c>
      <c r="N9" s="14">
        <f>(((Sources!M10)+(Sources!N10))/2)/(((Sources!M11)+(Sources!N11))/2)</f>
        <v>0</v>
      </c>
      <c r="O9" s="14">
        <f>(((Sources!N10)+(Sources!O10))/2)/(((Sources!N11)+(Sources!O11))/2)</f>
        <v>0</v>
      </c>
      <c r="P9" s="14">
        <f>(((Sources!O10)+(Sources!P10))/2)/(((Sources!O11)+(Sources!P11))/2)</f>
        <v>0</v>
      </c>
      <c r="Q9" s="14">
        <f>(((Sources!P10)+(Sources!Q10))/2)/(((Sources!P11)+(Sources!Q11))/2)</f>
        <v>0</v>
      </c>
      <c r="R9" s="14">
        <f>(((Sources!Q10)+(Sources!R10))/2)/(((Sources!Q11)+(Sources!R11))/2)</f>
        <v>0</v>
      </c>
      <c r="S9" s="14">
        <f>(((Sources!R10)+(Sources!S10))/2)/(((Sources!R11)+(Sources!S11))/2)</f>
        <v>0</v>
      </c>
      <c r="T9" s="9"/>
      <c r="U9" s="14">
        <f>(((Sources!T10)+(Sources!U10))/2)/(((Sources!T11)+(Sources!U11))/2)</f>
        <v>0</v>
      </c>
      <c r="V9" s="14">
        <f>(((Sources!U10)+(Sources!V10))/2)/(((Sources!U11)+(Sources!V11))/2)</f>
        <v>0</v>
      </c>
      <c r="W9" s="14">
        <f>(((Sources!V10)+(Sources!W10))/2)/(((Sources!V11)+(Sources!W11))/2)</f>
        <v>0</v>
      </c>
      <c r="X9" s="14">
        <f>(((Sources!W10)+(Sources!X10))/2)/(((Sources!W11)+(Sources!X11))/2)</f>
        <v>0</v>
      </c>
      <c r="Y9" s="14">
        <f>(((Sources!X10)+(Sources!Y10))/2)/(((Sources!X11)+(Sources!Y11))/2)</f>
        <v>0</v>
      </c>
      <c r="Z9" s="14">
        <f>(((Sources!Y10)+(Sources!Z10))/2)/(((Sources!Y11)+(Sources!Z11))/2)</f>
        <v>0</v>
      </c>
      <c r="AA9" s="14">
        <f>(((Sources!Z10)+(Sources!AA10))/2)/(((Sources!Z11)+(Sources!AA11))/2)</f>
        <v>0</v>
      </c>
      <c r="AB9" s="14">
        <f>(((Sources!AA10)+(Sources!AB10))/2)/(((Sources!AA11)+(Sources!AB11))/2)</f>
        <v>0</v>
      </c>
    </row>
    <row r="10" spans="1:28">
      <c r="A10" s="8" t="s">
        <v>66</v>
      </c>
      <c r="B10" s="9"/>
      <c r="C10" s="15">
        <f>Sources!C7/(((Sources!B11)+(Sources!C11))/2)</f>
        <v>0</v>
      </c>
      <c r="D10" s="15">
        <f>Sources!D7/(((Sources!C11)+(Sources!D11))/2)</f>
        <v>0</v>
      </c>
      <c r="E10" s="15">
        <f>Sources!E7/(((Sources!D11)+(Sources!E11))/2)</f>
        <v>0</v>
      </c>
      <c r="F10" s="15">
        <f>Sources!F7/(((Sources!E11)+(Sources!F11))/2)</f>
        <v>0</v>
      </c>
      <c r="G10" s="15">
        <f>Sources!G7/(((Sources!F11)+(Sources!G11))/2)</f>
        <v>0</v>
      </c>
      <c r="H10" s="15">
        <f>Sources!H7/(((Sources!G11)+(Sources!H11))/2)</f>
        <v>0</v>
      </c>
      <c r="I10" s="15">
        <f>Sources!I7/(((Sources!H11)+(Sources!I11))/2)</f>
        <v>0</v>
      </c>
      <c r="J10" s="15">
        <f>Sources!J7/(((Sources!I11)+(Sources!J11))/2)</f>
        <v>0</v>
      </c>
      <c r="K10" s="9"/>
      <c r="L10" s="15">
        <f>Sources!L7/(((Sources!K11)+(Sources!L11))/2)</f>
        <v>0</v>
      </c>
      <c r="M10" s="15">
        <f>Sources!M7/(((Sources!L11)+(Sources!M11))/2)</f>
        <v>0</v>
      </c>
      <c r="N10" s="15">
        <f>Sources!N7/(((Sources!M11)+(Sources!N11))/2)</f>
        <v>0</v>
      </c>
      <c r="O10" s="15">
        <f>Sources!O7/(((Sources!N11)+(Sources!O11))/2)</f>
        <v>0</v>
      </c>
      <c r="P10" s="15">
        <f>Sources!P7/(((Sources!O11)+(Sources!P11))/2)</f>
        <v>0</v>
      </c>
      <c r="Q10" s="15">
        <f>Sources!Q7/(((Sources!P11)+(Sources!Q11))/2)</f>
        <v>0</v>
      </c>
      <c r="R10" s="15">
        <f>Sources!R7/(((Sources!Q11)+(Sources!R11))/2)</f>
        <v>0</v>
      </c>
      <c r="S10" s="15">
        <f>Sources!S7/(((Sources!R11)+(Sources!S11))/2)</f>
        <v>0</v>
      </c>
      <c r="T10" s="9"/>
      <c r="U10" s="15">
        <f>Sources!U7/(((Sources!T11)+(Sources!U11))/2)</f>
        <v>0</v>
      </c>
      <c r="V10" s="15">
        <f>Sources!V7/(((Sources!U11)+(Sources!V11))/2)</f>
        <v>0</v>
      </c>
      <c r="W10" s="15">
        <f>Sources!W7/(((Sources!V11)+(Sources!W11))/2)</f>
        <v>0</v>
      </c>
      <c r="X10" s="15">
        <f>Sources!X7/(((Sources!W11)+(Sources!X11))/2)</f>
        <v>0</v>
      </c>
      <c r="Y10" s="15">
        <f>Sources!Y7/(((Sources!X11)+(Sources!Y11))/2)</f>
        <v>0</v>
      </c>
      <c r="Z10" s="15">
        <f>Sources!Z7/(((Sources!Y11)+(Sources!Z11))/2)</f>
        <v>0</v>
      </c>
      <c r="AA10" s="15">
        <f>Sources!AA7/(((Sources!Z11)+(Sources!AA11))/2)</f>
        <v>0</v>
      </c>
      <c r="AB10" s="15">
        <f>Sources!AB7/(((Sources!AA11)+(Sources!AB11))/2)</f>
        <v>0</v>
      </c>
    </row>
    <row r="11" spans="1:28">
      <c r="A11" s="8" t="s">
        <v>67</v>
      </c>
      <c r="B11" s="9"/>
      <c r="C11" s="16">
        <f>IF(ABS(C7*C8*C9-C10)&lt;0.0000005,"YES","NO")</f>
        <v>0</v>
      </c>
      <c r="D11" s="16">
        <f>IF(ABS(D7*D8*D9-D10)&lt;0.0000005,"YES","NO")</f>
        <v>0</v>
      </c>
      <c r="E11" s="16">
        <f>IF(ABS(E7*E8*E9-E10)&lt;0.0000005,"YES","NO")</f>
        <v>0</v>
      </c>
      <c r="F11" s="16">
        <f>IF(ABS(F7*F8*F9-F10)&lt;0.0000005,"YES","NO")</f>
        <v>0</v>
      </c>
      <c r="G11" s="16">
        <f>IF(ABS(G7*G8*G9-G10)&lt;0.0000005,"YES","NO")</f>
        <v>0</v>
      </c>
      <c r="H11" s="16">
        <f>IF(ABS(H7*H8*H9-H10)&lt;0.0000005,"YES","NO")</f>
        <v>0</v>
      </c>
      <c r="I11" s="16">
        <f>IF(ABS(I7*I8*I9-I10)&lt;0.0000005,"YES","NO")</f>
        <v>0</v>
      </c>
      <c r="J11" s="16">
        <f>IF(ABS(J7*J8*J9-J10)&lt;0.0000005,"YES","NO")</f>
        <v>0</v>
      </c>
      <c r="K11" s="9"/>
      <c r="L11" s="16">
        <f>IF(ABS(L7*L8*L9-L10)&lt;0.0000005,"YES","NO")</f>
        <v>0</v>
      </c>
      <c r="M11" s="16">
        <f>IF(ABS(M7*M8*M9-M10)&lt;0.0000005,"YES","NO")</f>
        <v>0</v>
      </c>
      <c r="N11" s="16">
        <f>IF(ABS(N7*N8*N9-N10)&lt;0.0000005,"YES","NO")</f>
        <v>0</v>
      </c>
      <c r="O11" s="16">
        <f>IF(ABS(O7*O8*O9-O10)&lt;0.0000005,"YES","NO")</f>
        <v>0</v>
      </c>
      <c r="P11" s="16">
        <f>IF(ABS(P7*P8*P9-P10)&lt;0.0000005,"YES","NO")</f>
        <v>0</v>
      </c>
      <c r="Q11" s="16">
        <f>IF(ABS(Q7*Q8*Q9-Q10)&lt;0.0000005,"YES","NO")</f>
        <v>0</v>
      </c>
      <c r="R11" s="16">
        <f>IF(ABS(R7*R8*R9-R10)&lt;0.0000005,"YES","NO")</f>
        <v>0</v>
      </c>
      <c r="S11" s="16">
        <f>IF(ABS(S7*S8*S9-S10)&lt;0.0000005,"YES","NO")</f>
        <v>0</v>
      </c>
      <c r="T11" s="9"/>
      <c r="U11" s="16">
        <f>IF(ABS(U7*U8*U9-U10)&lt;0.0000005,"YES","NO")</f>
        <v>0</v>
      </c>
      <c r="V11" s="16">
        <f>IF(ABS(V7*V8*V9-V10)&lt;0.0000005,"YES","NO")</f>
        <v>0</v>
      </c>
      <c r="W11" s="16">
        <f>IF(ABS(W7*W8*W9-W10)&lt;0.0000005,"YES","NO")</f>
        <v>0</v>
      </c>
      <c r="X11" s="16">
        <f>IF(ABS(X7*X8*X9-X10)&lt;0.0000005,"YES","NO")</f>
        <v>0</v>
      </c>
      <c r="Y11" s="16">
        <f>IF(ABS(Y7*Y8*Y9-Y10)&lt;0.0000005,"YES","NO")</f>
        <v>0</v>
      </c>
      <c r="Z11" s="16">
        <f>IF(ABS(Z7*Z8*Z9-Z10)&lt;0.0000005,"YES","NO")</f>
        <v>0</v>
      </c>
      <c r="AA11" s="16">
        <f>IF(ABS(AA7*AA8*AA9-AA10)&lt;0.0000005,"YES","NO")</f>
        <v>0</v>
      </c>
      <c r="AB11" s="16">
        <f>IF(ABS(AB7*AB8*AB9-AB10)&lt;0.0000005,"YES","NO")</f>
        <v>0</v>
      </c>
    </row>
    <row r="13" spans="1:28">
      <c r="A13" s="8" t="s">
        <v>68</v>
      </c>
    </row>
    <row r="14" spans="1:28">
      <c r="A14" s="11" t="s">
        <v>69</v>
      </c>
      <c r="B14" s="9"/>
      <c r="C14" s="13">
        <f>IF(Sources!C20="","n.m.",Sources!C20/Sources!C5)</f>
        <v>0</v>
      </c>
      <c r="D14" s="13">
        <f>IF(Sources!D20="","n.m.",Sources!D20/Sources!D5)</f>
        <v>0</v>
      </c>
      <c r="E14" s="13">
        <f>IF(Sources!E20="","n.m.",Sources!E20/Sources!E5)</f>
        <v>0</v>
      </c>
      <c r="F14" s="13">
        <f>IF(Sources!F20="","n.m.",Sources!F20/Sources!F5)</f>
        <v>0</v>
      </c>
      <c r="G14" s="13">
        <f>IF(Sources!G20="","n.m.",Sources!G20/Sources!G5)</f>
        <v>0</v>
      </c>
      <c r="H14" s="13">
        <f>IF(Sources!H20="","n.m.",Sources!H20/Sources!H5)</f>
        <v>0</v>
      </c>
      <c r="I14" s="13">
        <f>IF(Sources!I20="","n.m.",Sources!I20/Sources!I5)</f>
        <v>0</v>
      </c>
      <c r="J14" s="13">
        <f>IF(Sources!J20="","n.m.",Sources!J20/Sources!J5)</f>
        <v>0</v>
      </c>
      <c r="K14" s="9"/>
      <c r="L14" s="13">
        <f>IF(Sources!L20="","n.m.",Sources!L20/Sources!L5)</f>
        <v>0</v>
      </c>
      <c r="M14" s="13">
        <f>IF(Sources!M20="","n.m.",Sources!M20/Sources!M5)</f>
        <v>0</v>
      </c>
      <c r="N14" s="13">
        <f>IF(Sources!N20="","n.m.",Sources!N20/Sources!N5)</f>
        <v>0</v>
      </c>
      <c r="O14" s="13">
        <f>IF(Sources!O20="","n.m.",Sources!O20/Sources!O5)</f>
        <v>0</v>
      </c>
      <c r="P14" s="13">
        <f>IF(Sources!P20="","n.m.",Sources!P20/Sources!P5)</f>
        <v>0</v>
      </c>
      <c r="Q14" s="13">
        <f>IF(Sources!Q20="","n.m.",Sources!Q20/Sources!Q5)</f>
        <v>0</v>
      </c>
      <c r="R14" s="13">
        <f>IF(Sources!R20="","n.m.",Sources!R20/Sources!R5)</f>
        <v>0</v>
      </c>
      <c r="S14" s="13">
        <f>IF(Sources!S20="","n.m.",Sources!S20/Sources!S5)</f>
        <v>0</v>
      </c>
      <c r="T14" s="9"/>
      <c r="U14" s="13">
        <f>IF(Sources!U20="","n.m.",Sources!U20/Sources!U5)</f>
        <v>0</v>
      </c>
      <c r="V14" s="13">
        <f>IF(Sources!V20="","n.m.",Sources!V20/Sources!V5)</f>
        <v>0</v>
      </c>
      <c r="W14" s="13">
        <f>IF(Sources!W20="","n.m.",Sources!W20/Sources!W5)</f>
        <v>0</v>
      </c>
      <c r="X14" s="13">
        <f>IF(Sources!X20="","n.m.",Sources!X20/Sources!X5)</f>
        <v>0</v>
      </c>
      <c r="Y14" s="13">
        <f>IF(Sources!Y20="","n.m.",Sources!Y20/Sources!Y5)</f>
        <v>0</v>
      </c>
      <c r="Z14" s="13">
        <f>IF(Sources!Z20="","n.m.",Sources!Z20/Sources!Z5)</f>
        <v>0</v>
      </c>
      <c r="AA14" s="13">
        <f>IF(Sources!AA20="","n.m.",Sources!AA20/Sources!AA5)</f>
        <v>0</v>
      </c>
      <c r="AB14" s="13">
        <f>IF(Sources!AB20="","n.m.",Sources!AB20/Sources!AB5)</f>
        <v>0</v>
      </c>
    </row>
    <row r="15" spans="1:28">
      <c r="A15" s="11" t="s">
        <v>70</v>
      </c>
      <c r="B15" s="9"/>
      <c r="C15" s="14">
        <f>IF(Sources!C20="","n.m.",Sources!C5/((((Sources!B11)+(Sources!C11))/2)+(((Sources!B18)+(Sources!C18))/2)))</f>
        <v>0</v>
      </c>
      <c r="D15" s="14">
        <f>IF(Sources!D20="","n.m.",Sources!D5/((((Sources!C11)+(Sources!D11))/2)+(((Sources!C18)+(Sources!D18))/2)))</f>
        <v>0</v>
      </c>
      <c r="E15" s="14">
        <f>IF(Sources!E20="","n.m.",Sources!E5/((((Sources!D11)+(Sources!E11))/2)+(((Sources!D18)+(Sources!E18))/2)))</f>
        <v>0</v>
      </c>
      <c r="F15" s="14">
        <f>IF(Sources!F20="","n.m.",Sources!F5/((((Sources!E11)+(Sources!F11))/2)+(((Sources!E18)+(Sources!F18))/2)))</f>
        <v>0</v>
      </c>
      <c r="G15" s="14">
        <f>IF(Sources!G20="","n.m.",Sources!G5/((((Sources!F11)+(Sources!G11))/2)+(((Sources!F18)+(Sources!G18))/2)))</f>
        <v>0</v>
      </c>
      <c r="H15" s="14">
        <f>IF(Sources!H20="","n.m.",Sources!H5/((((Sources!G11)+(Sources!H11))/2)+(((Sources!G18)+(Sources!H18))/2)))</f>
        <v>0</v>
      </c>
      <c r="I15" s="14">
        <f>IF(Sources!I20="","n.m.",Sources!I5/((((Sources!H11)+(Sources!I11))/2)+(((Sources!H18)+(Sources!I18))/2)))</f>
        <v>0</v>
      </c>
      <c r="J15" s="14">
        <f>IF(Sources!J20="","n.m.",Sources!J5/((((Sources!I11)+(Sources!J11))/2)+(((Sources!I18)+(Sources!J18))/2)))</f>
        <v>0</v>
      </c>
      <c r="K15" s="9"/>
      <c r="L15" s="14">
        <f>IF(Sources!L20="","n.m.",Sources!L5/((((Sources!K11)+(Sources!L11))/2)+(((Sources!K18)+(Sources!L18))/2)))</f>
        <v>0</v>
      </c>
      <c r="M15" s="14">
        <f>IF(Sources!M20="","n.m.",Sources!M5/((((Sources!L11)+(Sources!M11))/2)+(((Sources!L18)+(Sources!M18))/2)))</f>
        <v>0</v>
      </c>
      <c r="N15" s="14">
        <f>IF(Sources!N20="","n.m.",Sources!N5/((((Sources!M11)+(Sources!N11))/2)+(((Sources!M18)+(Sources!N18))/2)))</f>
        <v>0</v>
      </c>
      <c r="O15" s="14">
        <f>IF(Sources!O20="","n.m.",Sources!O5/((((Sources!N11)+(Sources!O11))/2)+(((Sources!N18)+(Sources!O18))/2)))</f>
        <v>0</v>
      </c>
      <c r="P15" s="14">
        <f>IF(Sources!P20="","n.m.",Sources!P5/((((Sources!O11)+(Sources!P11))/2)+(((Sources!O18)+(Sources!P18))/2)))</f>
        <v>0</v>
      </c>
      <c r="Q15" s="14">
        <f>IF(Sources!Q20="","n.m.",Sources!Q5/((((Sources!P11)+(Sources!Q11))/2)+(((Sources!P18)+(Sources!Q18))/2)))</f>
        <v>0</v>
      </c>
      <c r="R15" s="14">
        <f>IF(Sources!R20="","n.m.",Sources!R5/((((Sources!Q11)+(Sources!R11))/2)+(((Sources!Q18)+(Sources!R18))/2)))</f>
        <v>0</v>
      </c>
      <c r="S15" s="14">
        <f>IF(Sources!S20="","n.m.",Sources!S5/((((Sources!R11)+(Sources!S11))/2)+(((Sources!R18)+(Sources!S18))/2)))</f>
        <v>0</v>
      </c>
      <c r="T15" s="9"/>
      <c r="U15" s="14">
        <f>IF(Sources!U20="","n.m.",Sources!U5/((((Sources!T11)+(Sources!U11))/2)+(((Sources!T18)+(Sources!U18))/2)))</f>
        <v>0</v>
      </c>
      <c r="V15" s="14">
        <f>IF(Sources!V20="","n.m.",Sources!V5/((((Sources!U11)+(Sources!V11))/2)+(((Sources!U18)+(Sources!V18))/2)))</f>
        <v>0</v>
      </c>
      <c r="W15" s="14">
        <f>IF(Sources!W20="","n.m.",Sources!W5/((((Sources!V11)+(Sources!W11))/2)+(((Sources!V18)+(Sources!W18))/2)))</f>
        <v>0</v>
      </c>
      <c r="X15" s="14">
        <f>IF(Sources!X20="","n.m.",Sources!X5/((((Sources!W11)+(Sources!X11))/2)+(((Sources!W18)+(Sources!X18))/2)))</f>
        <v>0</v>
      </c>
      <c r="Y15" s="14">
        <f>IF(Sources!Y20="","n.m.",Sources!Y5/((((Sources!X11)+(Sources!Y11))/2)+(((Sources!X18)+(Sources!Y18))/2)))</f>
        <v>0</v>
      </c>
      <c r="Z15" s="14">
        <f>IF(Sources!Z20="","n.m.",Sources!Z5/((((Sources!Y11)+(Sources!Z11))/2)+(((Sources!Y18)+(Sources!Z18))/2)))</f>
        <v>0</v>
      </c>
      <c r="AA15" s="14">
        <f>IF(Sources!AA20="","n.m.",Sources!AA5/((((Sources!Z11)+(Sources!AA11))/2)+(((Sources!Z18)+(Sources!AA18))/2)))</f>
        <v>0</v>
      </c>
      <c r="AB15" s="14">
        <f>IF(Sources!AB20="","n.m.",Sources!AB5/((((Sources!AA11)+(Sources!AB11))/2)+(((Sources!AA18)+(Sources!AB18))/2)))</f>
        <v>0</v>
      </c>
    </row>
    <row r="16" spans="1:28">
      <c r="A16" s="8" t="s">
        <v>71</v>
      </c>
      <c r="B16" s="9"/>
      <c r="C16" s="15">
        <f>IF(Sources!C20="","n.m.",Sources!C20/((((Sources!B11)+(Sources!C11))/2)+(((Sources!B18)+(Sources!C18))/2)))</f>
        <v>0</v>
      </c>
      <c r="D16" s="15">
        <f>IF(Sources!D20="","n.m.",Sources!D20/((((Sources!C11)+(Sources!D11))/2)+(((Sources!C18)+(Sources!D18))/2)))</f>
        <v>0</v>
      </c>
      <c r="E16" s="15">
        <f>IF(Sources!E20="","n.m.",Sources!E20/((((Sources!D11)+(Sources!E11))/2)+(((Sources!D18)+(Sources!E18))/2)))</f>
        <v>0</v>
      </c>
      <c r="F16" s="15">
        <f>IF(Sources!F20="","n.m.",Sources!F20/((((Sources!E11)+(Sources!F11))/2)+(((Sources!E18)+(Sources!F18))/2)))</f>
        <v>0</v>
      </c>
      <c r="G16" s="15">
        <f>IF(Sources!G20="","n.m.",Sources!G20/((((Sources!F11)+(Sources!G11))/2)+(((Sources!F18)+(Sources!G18))/2)))</f>
        <v>0</v>
      </c>
      <c r="H16" s="15">
        <f>IF(Sources!H20="","n.m.",Sources!H20/((((Sources!G11)+(Sources!H11))/2)+(((Sources!G18)+(Sources!H18))/2)))</f>
        <v>0</v>
      </c>
      <c r="I16" s="15">
        <f>IF(Sources!I20="","n.m.",Sources!I20/((((Sources!H11)+(Sources!I11))/2)+(((Sources!H18)+(Sources!I18))/2)))</f>
        <v>0</v>
      </c>
      <c r="J16" s="15">
        <f>IF(Sources!J20="","n.m.",Sources!J20/((((Sources!I11)+(Sources!J11))/2)+(((Sources!I18)+(Sources!J18))/2)))</f>
        <v>0</v>
      </c>
      <c r="K16" s="9"/>
      <c r="L16" s="15">
        <f>IF(Sources!L20="","n.m.",Sources!L20/((((Sources!K11)+(Sources!L11))/2)+(((Sources!K18)+(Sources!L18))/2)))</f>
        <v>0</v>
      </c>
      <c r="M16" s="15">
        <f>IF(Sources!M20="","n.m.",Sources!M20/((((Sources!L11)+(Sources!M11))/2)+(((Sources!L18)+(Sources!M18))/2)))</f>
        <v>0</v>
      </c>
      <c r="N16" s="15">
        <f>IF(Sources!N20="","n.m.",Sources!N20/((((Sources!M11)+(Sources!N11))/2)+(((Sources!M18)+(Sources!N18))/2)))</f>
        <v>0</v>
      </c>
      <c r="O16" s="15">
        <f>IF(Sources!O20="","n.m.",Sources!O20/((((Sources!N11)+(Sources!O11))/2)+(((Sources!N18)+(Sources!O18))/2)))</f>
        <v>0</v>
      </c>
      <c r="P16" s="15">
        <f>IF(Sources!P20="","n.m.",Sources!P20/((((Sources!O11)+(Sources!P11))/2)+(((Sources!O18)+(Sources!P18))/2)))</f>
        <v>0</v>
      </c>
      <c r="Q16" s="15">
        <f>IF(Sources!Q20="","n.m.",Sources!Q20/((((Sources!P11)+(Sources!Q11))/2)+(((Sources!P18)+(Sources!Q18))/2)))</f>
        <v>0</v>
      </c>
      <c r="R16" s="15">
        <f>IF(Sources!R20="","n.m.",Sources!R20/((((Sources!Q11)+(Sources!R11))/2)+(((Sources!Q18)+(Sources!R18))/2)))</f>
        <v>0</v>
      </c>
      <c r="S16" s="15">
        <f>IF(Sources!S20="","n.m.",Sources!S20/((((Sources!R11)+(Sources!S11))/2)+(((Sources!R18)+(Sources!S18))/2)))</f>
        <v>0</v>
      </c>
      <c r="T16" s="9"/>
      <c r="U16" s="15">
        <f>IF(Sources!U20="","n.m.",Sources!U20/((((Sources!T11)+(Sources!U11))/2)+(((Sources!T18)+(Sources!U18))/2)))</f>
        <v>0</v>
      </c>
      <c r="V16" s="15">
        <f>IF(Sources!V20="","n.m.",Sources!V20/((((Sources!U11)+(Sources!V11))/2)+(((Sources!U18)+(Sources!V18))/2)))</f>
        <v>0</v>
      </c>
      <c r="W16" s="15">
        <f>IF(Sources!W20="","n.m.",Sources!W20/((((Sources!V11)+(Sources!W11))/2)+(((Sources!V18)+(Sources!W18))/2)))</f>
        <v>0</v>
      </c>
      <c r="X16" s="15">
        <f>IF(Sources!X20="","n.m.",Sources!X20/((((Sources!W11)+(Sources!X11))/2)+(((Sources!W18)+(Sources!X18))/2)))</f>
        <v>0</v>
      </c>
      <c r="Y16" s="15">
        <f>IF(Sources!Y20="","n.m.",Sources!Y20/((((Sources!X11)+(Sources!Y11))/2)+(((Sources!X18)+(Sources!Y18))/2)))</f>
        <v>0</v>
      </c>
      <c r="Z16" s="15">
        <f>IF(Sources!Z20="","n.m.",Sources!Z20/((((Sources!Y11)+(Sources!Z11))/2)+(((Sources!Y18)+(Sources!Z18))/2)))</f>
        <v>0</v>
      </c>
      <c r="AA16" s="15">
        <f>IF(Sources!AA20="","n.m.",Sources!AA20/((((Sources!Z11)+(Sources!AA11))/2)+(((Sources!Z18)+(Sources!AA18))/2)))</f>
        <v>0</v>
      </c>
      <c r="AB16" s="15">
        <f>IF(Sources!AB20="","n.m.",Sources!AB20/((((Sources!AA11)+(Sources!AB11))/2)+(((Sources!AA18)+(Sources!AB18))/2)))</f>
        <v>0</v>
      </c>
    </row>
    <row r="17" spans="1:28">
      <c r="A17" s="8" t="s">
        <v>72</v>
      </c>
      <c r="B17" s="9"/>
      <c r="C17" s="16">
        <f>IF(Sources!C20="","n.m.",IF(ABS(C14*C15-C16)&lt;0.0000005,"YES","NO"))</f>
        <v>0</v>
      </c>
      <c r="D17" s="16">
        <f>IF(Sources!D20="","n.m.",IF(ABS(D14*D15-D16)&lt;0.0000005,"YES","NO"))</f>
        <v>0</v>
      </c>
      <c r="E17" s="16">
        <f>IF(Sources!E20="","n.m.",IF(ABS(E14*E15-E16)&lt;0.0000005,"YES","NO"))</f>
        <v>0</v>
      </c>
      <c r="F17" s="16">
        <f>IF(Sources!F20="","n.m.",IF(ABS(F14*F15-F16)&lt;0.0000005,"YES","NO"))</f>
        <v>0</v>
      </c>
      <c r="G17" s="16">
        <f>IF(Sources!G20="","n.m.",IF(ABS(G14*G15-G16)&lt;0.0000005,"YES","NO"))</f>
        <v>0</v>
      </c>
      <c r="H17" s="16">
        <f>IF(Sources!H20="","n.m.",IF(ABS(H14*H15-H16)&lt;0.0000005,"YES","NO"))</f>
        <v>0</v>
      </c>
      <c r="I17" s="16">
        <f>IF(Sources!I20="","n.m.",IF(ABS(I14*I15-I16)&lt;0.0000005,"YES","NO"))</f>
        <v>0</v>
      </c>
      <c r="J17" s="16">
        <f>IF(Sources!J20="","n.m.",IF(ABS(J14*J15-J16)&lt;0.0000005,"YES","NO"))</f>
        <v>0</v>
      </c>
      <c r="K17" s="9"/>
      <c r="L17" s="16">
        <f>IF(Sources!L20="","n.m.",IF(ABS(L14*L15-L16)&lt;0.0000005,"YES","NO"))</f>
        <v>0</v>
      </c>
      <c r="M17" s="16">
        <f>IF(Sources!M20="","n.m.",IF(ABS(M14*M15-M16)&lt;0.0000005,"YES","NO"))</f>
        <v>0</v>
      </c>
      <c r="N17" s="16">
        <f>IF(Sources!N20="","n.m.",IF(ABS(N14*N15-N16)&lt;0.0000005,"YES","NO"))</f>
        <v>0</v>
      </c>
      <c r="O17" s="16">
        <f>IF(Sources!O20="","n.m.",IF(ABS(O14*O15-O16)&lt;0.0000005,"YES","NO"))</f>
        <v>0</v>
      </c>
      <c r="P17" s="16">
        <f>IF(Sources!P20="","n.m.",IF(ABS(P14*P15-P16)&lt;0.0000005,"YES","NO"))</f>
        <v>0</v>
      </c>
      <c r="Q17" s="16">
        <f>IF(Sources!Q20="","n.m.",IF(ABS(Q14*Q15-Q16)&lt;0.0000005,"YES","NO"))</f>
        <v>0</v>
      </c>
      <c r="R17" s="16">
        <f>IF(Sources!R20="","n.m.",IF(ABS(R14*R15-R16)&lt;0.0000005,"YES","NO"))</f>
        <v>0</v>
      </c>
      <c r="S17" s="16">
        <f>IF(Sources!S20="","n.m.",IF(ABS(S14*S15-S16)&lt;0.0000005,"YES","NO"))</f>
        <v>0</v>
      </c>
      <c r="T17" s="9"/>
      <c r="U17" s="16">
        <f>IF(Sources!U20="","n.m.",IF(ABS(U14*U15-U16)&lt;0.0000005,"YES","NO"))</f>
        <v>0</v>
      </c>
      <c r="V17" s="16">
        <f>IF(Sources!V20="","n.m.",IF(ABS(V14*V15-V16)&lt;0.0000005,"YES","NO"))</f>
        <v>0</v>
      </c>
      <c r="W17" s="16">
        <f>IF(Sources!W20="","n.m.",IF(ABS(W14*W15-W16)&lt;0.0000005,"YES","NO"))</f>
        <v>0</v>
      </c>
      <c r="X17" s="16">
        <f>IF(Sources!X20="","n.m.",IF(ABS(X14*X15-X16)&lt;0.0000005,"YES","NO"))</f>
        <v>0</v>
      </c>
      <c r="Y17" s="16">
        <f>IF(Sources!Y20="","n.m.",IF(ABS(Y14*Y15-Y16)&lt;0.0000005,"YES","NO"))</f>
        <v>0</v>
      </c>
      <c r="Z17" s="16">
        <f>IF(Sources!Z20="","n.m.",IF(ABS(Z14*Z15-Z16)&lt;0.0000005,"YES","NO"))</f>
        <v>0</v>
      </c>
      <c r="AA17" s="16">
        <f>IF(Sources!AA20="","n.m.",IF(ABS(AA14*AA15-AA16)&lt;0.0000005,"YES","NO"))</f>
        <v>0</v>
      </c>
      <c r="AB17" s="16">
        <f>IF(Sources!AB20="","n.m.",IF(ABS(AB14*AB15-AB16)&lt;0.0000005,"YES","NO"))</f>
        <v>0</v>
      </c>
    </row>
    <row r="19" spans="1:28">
      <c r="A19" s="11" t="s">
        <v>71</v>
      </c>
      <c r="B19" s="9"/>
      <c r="C19" s="13">
        <f>IF(Sources!C20="","n.m.",C16)</f>
        <v>0</v>
      </c>
      <c r="D19" s="13">
        <f>IF(Sources!D20="","n.m.",D16)</f>
        <v>0</v>
      </c>
      <c r="E19" s="13">
        <f>IF(Sources!E20="","n.m.",E16)</f>
        <v>0</v>
      </c>
      <c r="F19" s="13">
        <f>IF(Sources!F20="","n.m.",F16)</f>
        <v>0</v>
      </c>
      <c r="G19" s="13">
        <f>IF(Sources!G20="","n.m.",G16)</f>
        <v>0</v>
      </c>
      <c r="H19" s="13">
        <f>IF(Sources!H20="","n.m.",H16)</f>
        <v>0</v>
      </c>
      <c r="I19" s="13">
        <f>IF(Sources!I20="","n.m.",I16)</f>
        <v>0</v>
      </c>
      <c r="J19" s="13">
        <f>IF(Sources!J20="","n.m.",J16)</f>
        <v>0</v>
      </c>
      <c r="K19" s="9"/>
      <c r="L19" s="13">
        <f>IF(Sources!L20="","n.m.",L16)</f>
        <v>0</v>
      </c>
      <c r="M19" s="13">
        <f>IF(Sources!M20="","n.m.",M16)</f>
        <v>0</v>
      </c>
      <c r="N19" s="13">
        <f>IF(Sources!N20="","n.m.",N16)</f>
        <v>0</v>
      </c>
      <c r="O19" s="13">
        <f>IF(Sources!O20="","n.m.",O16)</f>
        <v>0</v>
      </c>
      <c r="P19" s="13">
        <f>IF(Sources!P20="","n.m.",P16)</f>
        <v>0</v>
      </c>
      <c r="Q19" s="13">
        <f>IF(Sources!Q20="","n.m.",Q16)</f>
        <v>0</v>
      </c>
      <c r="R19" s="13">
        <f>IF(Sources!R20="","n.m.",R16)</f>
        <v>0</v>
      </c>
      <c r="S19" s="13">
        <f>IF(Sources!S20="","n.m.",S16)</f>
        <v>0</v>
      </c>
      <c r="T19" s="9"/>
      <c r="U19" s="13">
        <f>IF(Sources!U20="","n.m.",U16)</f>
        <v>0</v>
      </c>
      <c r="V19" s="13">
        <f>IF(Sources!V20="","n.m.",V16)</f>
        <v>0</v>
      </c>
      <c r="W19" s="13">
        <f>IF(Sources!W20="","n.m.",W16)</f>
        <v>0</v>
      </c>
      <c r="X19" s="13">
        <f>IF(Sources!X20="","n.m.",X16)</f>
        <v>0</v>
      </c>
      <c r="Y19" s="13">
        <f>IF(Sources!Y20="","n.m.",Y16)</f>
        <v>0</v>
      </c>
      <c r="Z19" s="13">
        <f>IF(Sources!Z20="","n.m.",Z16)</f>
        <v>0</v>
      </c>
      <c r="AA19" s="13">
        <f>IF(Sources!AA20="","n.m.",AA16)</f>
        <v>0</v>
      </c>
      <c r="AB19" s="13">
        <f>IF(Sources!AB20="","n.m.",AB16)</f>
        <v>0</v>
      </c>
    </row>
    <row r="20" spans="1:28">
      <c r="A20" s="11" t="s">
        <v>73</v>
      </c>
      <c r="B20" s="9"/>
      <c r="C20" s="13">
        <f>IF(OR(Sources!C20="",ABS((((Sources!B18)+(Sources!C18))/2))&lt;250),"n.m.",Sources!C19/((((Sources!B18)+(Sources!C18))/2)))</f>
        <v>0</v>
      </c>
      <c r="D20" s="13">
        <f>IF(OR(Sources!D20="",ABS((((Sources!C18)+(Sources!D18))/2))&lt;250),"n.m.",Sources!D19/((((Sources!C18)+(Sources!D18))/2)))</f>
        <v>0</v>
      </c>
      <c r="E20" s="13">
        <f>IF(OR(Sources!E20="",ABS((((Sources!D18)+(Sources!E18))/2))&lt;250),"n.m.",Sources!E19/((((Sources!D18)+(Sources!E18))/2)))</f>
        <v>0</v>
      </c>
      <c r="F20" s="13">
        <f>IF(OR(Sources!F20="",ABS((((Sources!E18)+(Sources!F18))/2))&lt;250),"n.m.",Sources!F19/((((Sources!E18)+(Sources!F18))/2)))</f>
        <v>0</v>
      </c>
      <c r="G20" s="13">
        <f>IF(OR(Sources!G20="",ABS((((Sources!F18)+(Sources!G18))/2))&lt;250),"n.m.",Sources!G19/((((Sources!F18)+(Sources!G18))/2)))</f>
        <v>0</v>
      </c>
      <c r="H20" s="13">
        <f>IF(OR(Sources!H20="",ABS((((Sources!G18)+(Sources!H18))/2))&lt;250),"n.m.",Sources!H19/((((Sources!G18)+(Sources!H18))/2)))</f>
        <v>0</v>
      </c>
      <c r="I20" s="13">
        <f>IF(OR(Sources!I20="",ABS((((Sources!H18)+(Sources!I18))/2))&lt;250),"n.m.",Sources!I19/((((Sources!H18)+(Sources!I18))/2)))</f>
        <v>0</v>
      </c>
      <c r="J20" s="13">
        <f>IF(OR(Sources!J20="",ABS((((Sources!I18)+(Sources!J18))/2))&lt;250),"n.m.",Sources!J19/((((Sources!I18)+(Sources!J18))/2)))</f>
        <v>0</v>
      </c>
      <c r="K20" s="9"/>
      <c r="L20" s="13">
        <f>IF(OR(Sources!L20="",ABS((((Sources!K18)+(Sources!L18))/2))&lt;250),"n.m.",Sources!L19/((((Sources!K18)+(Sources!L18))/2)))</f>
        <v>0</v>
      </c>
      <c r="M20" s="13">
        <f>IF(OR(Sources!M20="",ABS((((Sources!L18)+(Sources!M18))/2))&lt;250),"n.m.",Sources!M19/((((Sources!L18)+(Sources!M18))/2)))</f>
        <v>0</v>
      </c>
      <c r="N20" s="13">
        <f>IF(OR(Sources!N20="",ABS((((Sources!M18)+(Sources!N18))/2))&lt;250),"n.m.",Sources!N19/((((Sources!M18)+(Sources!N18))/2)))</f>
        <v>0</v>
      </c>
      <c r="O20" s="13">
        <f>IF(OR(Sources!O20="",ABS((((Sources!N18)+(Sources!O18))/2))&lt;250),"n.m.",Sources!O19/((((Sources!N18)+(Sources!O18))/2)))</f>
        <v>0</v>
      </c>
      <c r="P20" s="13">
        <f>IF(OR(Sources!P20="",ABS((((Sources!O18)+(Sources!P18))/2))&lt;250),"n.m.",Sources!P19/((((Sources!O18)+(Sources!P18))/2)))</f>
        <v>0</v>
      </c>
      <c r="Q20" s="13">
        <f>IF(OR(Sources!Q20="",ABS((((Sources!P18)+(Sources!Q18))/2))&lt;250),"n.m.",Sources!Q19/((((Sources!P18)+(Sources!Q18))/2)))</f>
        <v>0</v>
      </c>
      <c r="R20" s="13">
        <f>IF(OR(Sources!R20="",ABS((((Sources!Q18)+(Sources!R18))/2))&lt;250),"n.m.",Sources!R19/((((Sources!Q18)+(Sources!R18))/2)))</f>
        <v>0</v>
      </c>
      <c r="S20" s="13">
        <f>IF(OR(Sources!S20="",ABS((((Sources!R18)+(Sources!S18))/2))&lt;250),"n.m.",Sources!S19/((((Sources!R18)+(Sources!S18))/2)))</f>
        <v>0</v>
      </c>
      <c r="T20" s="9"/>
      <c r="U20" s="13">
        <f>IF(OR(Sources!U20="",ABS((((Sources!T18)+(Sources!U18))/2))&lt;250),"n.m.",Sources!U19/((((Sources!T18)+(Sources!U18))/2)))</f>
        <v>0</v>
      </c>
      <c r="V20" s="13">
        <f>IF(OR(Sources!V20="",ABS((((Sources!U18)+(Sources!V18))/2))&lt;250),"n.m.",Sources!V19/((((Sources!U18)+(Sources!V18))/2)))</f>
        <v>0</v>
      </c>
      <c r="W20" s="13">
        <f>IF(OR(Sources!W20="",ABS((((Sources!V18)+(Sources!W18))/2))&lt;250),"n.m.",Sources!W19/((((Sources!V18)+(Sources!W18))/2)))</f>
        <v>0</v>
      </c>
      <c r="X20" s="13">
        <f>IF(OR(Sources!X20="",ABS((((Sources!W18)+(Sources!X18))/2))&lt;250),"n.m.",Sources!X19/((((Sources!W18)+(Sources!X18))/2)))</f>
        <v>0</v>
      </c>
      <c r="Y20" s="13">
        <f>IF(OR(Sources!Y20="",ABS((((Sources!X18)+(Sources!Y18))/2))&lt;250),"n.m.",Sources!Y19/((((Sources!X18)+(Sources!Y18))/2)))</f>
        <v>0</v>
      </c>
      <c r="Z20" s="13">
        <f>IF(OR(Sources!Z20="",ABS((((Sources!Y18)+(Sources!Z18))/2))&lt;250),"n.m.",Sources!Z19/((((Sources!Y18)+(Sources!Z18))/2)))</f>
        <v>0</v>
      </c>
      <c r="AA20" s="13">
        <f>IF(OR(Sources!AA20="",ABS((((Sources!Z18)+(Sources!AA18))/2))&lt;250),"n.m.",Sources!AA19/((((Sources!Z18)+(Sources!AA18))/2)))</f>
        <v>0</v>
      </c>
      <c r="AB20" s="13">
        <f>IF(OR(Sources!AB20="",ABS((((Sources!AA18)+(Sources!AB18))/2))&lt;250),"n.m.",Sources!AB19/((((Sources!AA18)+(Sources!AB18))/2)))</f>
        <v>0</v>
      </c>
    </row>
    <row r="21" spans="1:28">
      <c r="A21" s="11" t="s">
        <v>74</v>
      </c>
      <c r="B21" s="9"/>
      <c r="C21" s="13">
        <f>IF(OR(Sources!C20="",C20="n.m."),"n.m.",C19-C20)</f>
        <v>0</v>
      </c>
      <c r="D21" s="13">
        <f>IF(OR(Sources!D20="",D20="n.m."),"n.m.",D19-D20)</f>
        <v>0</v>
      </c>
      <c r="E21" s="13">
        <f>IF(OR(Sources!E20="",E20="n.m."),"n.m.",E19-E20)</f>
        <v>0</v>
      </c>
      <c r="F21" s="13">
        <f>IF(OR(Sources!F20="",F20="n.m."),"n.m.",F19-F20)</f>
        <v>0</v>
      </c>
      <c r="G21" s="13">
        <f>IF(OR(Sources!G20="",G20="n.m."),"n.m.",G19-G20)</f>
        <v>0</v>
      </c>
      <c r="H21" s="13">
        <f>IF(OR(Sources!H20="",H20="n.m."),"n.m.",H19-H20)</f>
        <v>0</v>
      </c>
      <c r="I21" s="13">
        <f>IF(OR(Sources!I20="",I20="n.m."),"n.m.",I19-I20)</f>
        <v>0</v>
      </c>
      <c r="J21" s="13">
        <f>IF(OR(Sources!J20="",J20="n.m."),"n.m.",J19-J20)</f>
        <v>0</v>
      </c>
      <c r="K21" s="9"/>
      <c r="L21" s="13">
        <f>IF(OR(Sources!L20="",L20="n.m."),"n.m.",L19-L20)</f>
        <v>0</v>
      </c>
      <c r="M21" s="13">
        <f>IF(OR(Sources!M20="",M20="n.m."),"n.m.",M19-M20)</f>
        <v>0</v>
      </c>
      <c r="N21" s="13">
        <f>IF(OR(Sources!N20="",N20="n.m."),"n.m.",N19-N20)</f>
        <v>0</v>
      </c>
      <c r="O21" s="13">
        <f>IF(OR(Sources!O20="",O20="n.m."),"n.m.",O19-O20)</f>
        <v>0</v>
      </c>
      <c r="P21" s="13">
        <f>IF(OR(Sources!P20="",P20="n.m."),"n.m.",P19-P20)</f>
        <v>0</v>
      </c>
      <c r="Q21" s="13">
        <f>IF(OR(Sources!Q20="",Q20="n.m."),"n.m.",Q19-Q20)</f>
        <v>0</v>
      </c>
      <c r="R21" s="13">
        <f>IF(OR(Sources!R20="",R20="n.m."),"n.m.",R19-R20)</f>
        <v>0</v>
      </c>
      <c r="S21" s="13">
        <f>IF(OR(Sources!S20="",S20="n.m."),"n.m.",S19-S20)</f>
        <v>0</v>
      </c>
      <c r="T21" s="9"/>
      <c r="U21" s="13">
        <f>IF(OR(Sources!U20="",U20="n.m."),"n.m.",U19-U20)</f>
        <v>0</v>
      </c>
      <c r="V21" s="13">
        <f>IF(OR(Sources!V20="",V20="n.m."),"n.m.",V19-V20)</f>
        <v>0</v>
      </c>
      <c r="W21" s="13">
        <f>IF(OR(Sources!W20="",W20="n.m."),"n.m.",W19-W20)</f>
        <v>0</v>
      </c>
      <c r="X21" s="13">
        <f>IF(OR(Sources!X20="",X20="n.m."),"n.m.",X19-X20)</f>
        <v>0</v>
      </c>
      <c r="Y21" s="13">
        <f>IF(OR(Sources!Y20="",Y20="n.m."),"n.m.",Y19-Y20)</f>
        <v>0</v>
      </c>
      <c r="Z21" s="13">
        <f>IF(OR(Sources!Z20="",Z20="n.m."),"n.m.",Z19-Z20)</f>
        <v>0</v>
      </c>
      <c r="AA21" s="13">
        <f>IF(OR(Sources!AA20="",AA20="n.m."),"n.m.",AA19-AA20)</f>
        <v>0</v>
      </c>
      <c r="AB21" s="13">
        <f>IF(OR(Sources!AB20="",AB20="n.m."),"n.m.",AB19-AB20)</f>
        <v>0</v>
      </c>
    </row>
    <row r="22" spans="1:28">
      <c r="A22" s="11" t="s">
        <v>75</v>
      </c>
      <c r="B22" s="9"/>
      <c r="C22" s="14">
        <f>IF(Sources!C20="","n.m.",(((Sources!B18)+(Sources!C18))/2)/(((Sources!B11)+(Sources!C11))/2))</f>
        <v>0</v>
      </c>
      <c r="D22" s="14">
        <f>IF(Sources!D20="","n.m.",(((Sources!C18)+(Sources!D18))/2)/(((Sources!C11)+(Sources!D11))/2))</f>
        <v>0</v>
      </c>
      <c r="E22" s="14">
        <f>IF(Sources!E20="","n.m.",(((Sources!D18)+(Sources!E18))/2)/(((Sources!D11)+(Sources!E11))/2))</f>
        <v>0</v>
      </c>
      <c r="F22" s="14">
        <f>IF(Sources!F20="","n.m.",(((Sources!E18)+(Sources!F18))/2)/(((Sources!E11)+(Sources!F11))/2))</f>
        <v>0</v>
      </c>
      <c r="G22" s="14">
        <f>IF(Sources!G20="","n.m.",(((Sources!F18)+(Sources!G18))/2)/(((Sources!F11)+(Sources!G11))/2))</f>
        <v>0</v>
      </c>
      <c r="H22" s="14">
        <f>IF(Sources!H20="","n.m.",(((Sources!G18)+(Sources!H18))/2)/(((Sources!G11)+(Sources!H11))/2))</f>
        <v>0</v>
      </c>
      <c r="I22" s="14">
        <f>IF(Sources!I20="","n.m.",(((Sources!H18)+(Sources!I18))/2)/(((Sources!H11)+(Sources!I11))/2))</f>
        <v>0</v>
      </c>
      <c r="J22" s="14">
        <f>IF(Sources!J20="","n.m.",(((Sources!I18)+(Sources!J18))/2)/(((Sources!I11)+(Sources!J11))/2))</f>
        <v>0</v>
      </c>
      <c r="K22" s="9"/>
      <c r="L22" s="14">
        <f>IF(Sources!L20="","n.m.",(((Sources!K18)+(Sources!L18))/2)/(((Sources!K11)+(Sources!L11))/2))</f>
        <v>0</v>
      </c>
      <c r="M22" s="14">
        <f>IF(Sources!M20="","n.m.",(((Sources!L18)+(Sources!M18))/2)/(((Sources!L11)+(Sources!M11))/2))</f>
        <v>0</v>
      </c>
      <c r="N22" s="14">
        <f>IF(Sources!N20="","n.m.",(((Sources!M18)+(Sources!N18))/2)/(((Sources!M11)+(Sources!N11))/2))</f>
        <v>0</v>
      </c>
      <c r="O22" s="14">
        <f>IF(Sources!O20="","n.m.",(((Sources!N18)+(Sources!O18))/2)/(((Sources!N11)+(Sources!O11))/2))</f>
        <v>0</v>
      </c>
      <c r="P22" s="14">
        <f>IF(Sources!P20="","n.m.",(((Sources!O18)+(Sources!P18))/2)/(((Sources!O11)+(Sources!P11))/2))</f>
        <v>0</v>
      </c>
      <c r="Q22" s="14">
        <f>IF(Sources!Q20="","n.m.",(((Sources!P18)+(Sources!Q18))/2)/(((Sources!P11)+(Sources!Q11))/2))</f>
        <v>0</v>
      </c>
      <c r="R22" s="14">
        <f>IF(Sources!R20="","n.m.",(((Sources!Q18)+(Sources!R18))/2)/(((Sources!Q11)+(Sources!R11))/2))</f>
        <v>0</v>
      </c>
      <c r="S22" s="14">
        <f>IF(Sources!S20="","n.m.",(((Sources!R18)+(Sources!S18))/2)/(((Sources!R11)+(Sources!S11))/2))</f>
        <v>0</v>
      </c>
      <c r="T22" s="9"/>
      <c r="U22" s="14">
        <f>IF(Sources!U20="","n.m.",(((Sources!T18)+(Sources!U18))/2)/(((Sources!T11)+(Sources!U11))/2))</f>
        <v>0</v>
      </c>
      <c r="V22" s="14">
        <f>IF(Sources!V20="","n.m.",(((Sources!U18)+(Sources!V18))/2)/(((Sources!U11)+(Sources!V11))/2))</f>
        <v>0</v>
      </c>
      <c r="W22" s="14">
        <f>IF(Sources!W20="","n.m.",(((Sources!V18)+(Sources!W18))/2)/(((Sources!V11)+(Sources!W11))/2))</f>
        <v>0</v>
      </c>
      <c r="X22" s="14">
        <f>IF(Sources!X20="","n.m.",(((Sources!W18)+(Sources!X18))/2)/(((Sources!W11)+(Sources!X11))/2))</f>
        <v>0</v>
      </c>
      <c r="Y22" s="14">
        <f>IF(Sources!Y20="","n.m.",(((Sources!X18)+(Sources!Y18))/2)/(((Sources!X11)+(Sources!Y11))/2))</f>
        <v>0</v>
      </c>
      <c r="Z22" s="14">
        <f>IF(Sources!Z20="","n.m.",(((Sources!Y18)+(Sources!Z18))/2)/(((Sources!Y11)+(Sources!Z11))/2))</f>
        <v>0</v>
      </c>
      <c r="AA22" s="14">
        <f>IF(Sources!AA20="","n.m.",(((Sources!Z18)+(Sources!AA18))/2)/(((Sources!Z11)+(Sources!AA11))/2))</f>
        <v>0</v>
      </c>
      <c r="AB22" s="14">
        <f>IF(Sources!AB20="","n.m.",(((Sources!AA18)+(Sources!AB18))/2)/(((Sources!AA11)+(Sources!AB11))/2))</f>
        <v>0</v>
      </c>
    </row>
    <row r="23" spans="1:28">
      <c r="A23" s="8" t="s">
        <v>76</v>
      </c>
      <c r="B23" s="9"/>
      <c r="C23" s="15">
        <f>IF(OR(Sources!C20="",C21="n.m."),"n.m.",C21*C22)</f>
        <v>0</v>
      </c>
      <c r="D23" s="15">
        <f>IF(OR(Sources!D20="",D21="n.m."),"n.m.",D21*D22)</f>
        <v>0</v>
      </c>
      <c r="E23" s="15">
        <f>IF(OR(Sources!E20="",E21="n.m."),"n.m.",E21*E22)</f>
        <v>0</v>
      </c>
      <c r="F23" s="15">
        <f>IF(OR(Sources!F20="",F21="n.m."),"n.m.",F21*F22)</f>
        <v>0</v>
      </c>
      <c r="G23" s="15">
        <f>IF(OR(Sources!G20="",G21="n.m."),"n.m.",G21*G22)</f>
        <v>0</v>
      </c>
      <c r="H23" s="15">
        <f>IF(OR(Sources!H20="",H21="n.m."),"n.m.",H21*H22)</f>
        <v>0</v>
      </c>
      <c r="I23" s="15">
        <f>IF(OR(Sources!I20="",I21="n.m."),"n.m.",I21*I22)</f>
        <v>0</v>
      </c>
      <c r="J23" s="15">
        <f>IF(OR(Sources!J20="",J21="n.m."),"n.m.",J21*J22)</f>
        <v>0</v>
      </c>
      <c r="K23" s="9"/>
      <c r="L23" s="15">
        <f>IF(OR(Sources!L20="",L21="n.m."),"n.m.",L21*L22)</f>
        <v>0</v>
      </c>
      <c r="M23" s="15">
        <f>IF(OR(Sources!M20="",M21="n.m."),"n.m.",M21*M22)</f>
        <v>0</v>
      </c>
      <c r="N23" s="15">
        <f>IF(OR(Sources!N20="",N21="n.m."),"n.m.",N21*N22)</f>
        <v>0</v>
      </c>
      <c r="O23" s="15">
        <f>IF(OR(Sources!O20="",O21="n.m."),"n.m.",O21*O22)</f>
        <v>0</v>
      </c>
      <c r="P23" s="15">
        <f>IF(OR(Sources!P20="",P21="n.m."),"n.m.",P21*P22)</f>
        <v>0</v>
      </c>
      <c r="Q23" s="15">
        <f>IF(OR(Sources!Q20="",Q21="n.m."),"n.m.",Q21*Q22)</f>
        <v>0</v>
      </c>
      <c r="R23" s="15">
        <f>IF(OR(Sources!R20="",R21="n.m."),"n.m.",R21*R22)</f>
        <v>0</v>
      </c>
      <c r="S23" s="15">
        <f>IF(OR(Sources!S20="",S21="n.m."),"n.m.",S21*S22)</f>
        <v>0</v>
      </c>
      <c r="T23" s="9"/>
      <c r="U23" s="15">
        <f>IF(OR(Sources!U20="",U21="n.m."),"n.m.",U21*U22)</f>
        <v>0</v>
      </c>
      <c r="V23" s="15">
        <f>IF(OR(Sources!V20="",V21="n.m."),"n.m.",V21*V22)</f>
        <v>0</v>
      </c>
      <c r="W23" s="15">
        <f>IF(OR(Sources!W20="",W21="n.m."),"n.m.",W21*W22)</f>
        <v>0</v>
      </c>
      <c r="X23" s="15">
        <f>IF(OR(Sources!X20="",X21="n.m."),"n.m.",X21*X22)</f>
        <v>0</v>
      </c>
      <c r="Y23" s="15">
        <f>IF(OR(Sources!Y20="",Y21="n.m."),"n.m.",Y21*Y22)</f>
        <v>0</v>
      </c>
      <c r="Z23" s="15">
        <f>IF(OR(Sources!Z20="",Z21="n.m."),"n.m.",Z21*Z22)</f>
        <v>0</v>
      </c>
      <c r="AA23" s="15">
        <f>IF(OR(Sources!AA20="",AA21="n.m."),"n.m.",AA21*AA22)</f>
        <v>0</v>
      </c>
      <c r="AB23" s="15">
        <f>IF(OR(Sources!AB20="",AB21="n.m."),"n.m.",AB21*AB22)</f>
        <v>0</v>
      </c>
    </row>
    <row r="24" spans="1:28">
      <c r="A24" s="8" t="s">
        <v>66</v>
      </c>
      <c r="B24" s="9"/>
      <c r="C24" s="15">
        <f>Sources!C7/(((Sources!B11)+(Sources!C11))/2)</f>
        <v>0</v>
      </c>
      <c r="D24" s="15">
        <f>Sources!D7/(((Sources!C11)+(Sources!D11))/2)</f>
        <v>0</v>
      </c>
      <c r="E24" s="15">
        <f>Sources!E7/(((Sources!D11)+(Sources!E11))/2)</f>
        <v>0</v>
      </c>
      <c r="F24" s="15">
        <f>Sources!F7/(((Sources!E11)+(Sources!F11))/2)</f>
        <v>0</v>
      </c>
      <c r="G24" s="15">
        <f>Sources!G7/(((Sources!F11)+(Sources!G11))/2)</f>
        <v>0</v>
      </c>
      <c r="H24" s="15">
        <f>Sources!H7/(((Sources!G11)+(Sources!H11))/2)</f>
        <v>0</v>
      </c>
      <c r="I24" s="15">
        <f>Sources!I7/(((Sources!H11)+(Sources!I11))/2)</f>
        <v>0</v>
      </c>
      <c r="J24" s="15">
        <f>Sources!J7/(((Sources!I11)+(Sources!J11))/2)</f>
        <v>0</v>
      </c>
      <c r="K24" s="9"/>
      <c r="L24" s="15">
        <f>Sources!L7/(((Sources!K11)+(Sources!L11))/2)</f>
        <v>0</v>
      </c>
      <c r="M24" s="15">
        <f>Sources!M7/(((Sources!L11)+(Sources!M11))/2)</f>
        <v>0</v>
      </c>
      <c r="N24" s="15">
        <f>Sources!N7/(((Sources!M11)+(Sources!N11))/2)</f>
        <v>0</v>
      </c>
      <c r="O24" s="15">
        <f>Sources!O7/(((Sources!N11)+(Sources!O11))/2)</f>
        <v>0</v>
      </c>
      <c r="P24" s="15">
        <f>Sources!P7/(((Sources!O11)+(Sources!P11))/2)</f>
        <v>0</v>
      </c>
      <c r="Q24" s="15">
        <f>Sources!Q7/(((Sources!P11)+(Sources!Q11))/2)</f>
        <v>0</v>
      </c>
      <c r="R24" s="15">
        <f>Sources!R7/(((Sources!Q11)+(Sources!R11))/2)</f>
        <v>0</v>
      </c>
      <c r="S24" s="15">
        <f>Sources!S7/(((Sources!R11)+(Sources!S11))/2)</f>
        <v>0</v>
      </c>
      <c r="T24" s="9"/>
      <c r="U24" s="15">
        <f>Sources!U7/(((Sources!T11)+(Sources!U11))/2)</f>
        <v>0</v>
      </c>
      <c r="V24" s="15">
        <f>Sources!V7/(((Sources!U11)+(Sources!V11))/2)</f>
        <v>0</v>
      </c>
      <c r="W24" s="15">
        <f>Sources!W7/(((Sources!V11)+(Sources!W11))/2)</f>
        <v>0</v>
      </c>
      <c r="X24" s="15">
        <f>Sources!X7/(((Sources!W11)+(Sources!X11))/2)</f>
        <v>0</v>
      </c>
      <c r="Y24" s="15">
        <f>Sources!Y7/(((Sources!X11)+(Sources!Y11))/2)</f>
        <v>0</v>
      </c>
      <c r="Z24" s="15">
        <f>Sources!Z7/(((Sources!Y11)+(Sources!Z11))/2)</f>
        <v>0</v>
      </c>
      <c r="AA24" s="15">
        <f>Sources!AA7/(((Sources!Z11)+(Sources!AA11))/2)</f>
        <v>0</v>
      </c>
      <c r="AB24" s="15">
        <f>Sources!AB7/(((Sources!AA11)+(Sources!AB11))/2)</f>
        <v>0</v>
      </c>
    </row>
    <row r="25" spans="1:28">
      <c r="A25" s="8" t="s">
        <v>77</v>
      </c>
      <c r="B25" s="9"/>
      <c r="C25" s="16">
        <f>IF(OR(Sources!C20="",C23="n.m."),"n.m.",IF(ABS(C19+C23-C24)&lt;0.0000005,"YES","NO"))</f>
        <v>0</v>
      </c>
      <c r="D25" s="16">
        <f>IF(OR(Sources!D20="",D23="n.m."),"n.m.",IF(ABS(D19+D23-D24)&lt;0.0000005,"YES","NO"))</f>
        <v>0</v>
      </c>
      <c r="E25" s="16">
        <f>IF(OR(Sources!E20="",E23="n.m."),"n.m.",IF(ABS(E19+E23-E24)&lt;0.0000005,"YES","NO"))</f>
        <v>0</v>
      </c>
      <c r="F25" s="16">
        <f>IF(OR(Sources!F20="",F23="n.m."),"n.m.",IF(ABS(F19+F23-F24)&lt;0.0000005,"YES","NO"))</f>
        <v>0</v>
      </c>
      <c r="G25" s="16">
        <f>IF(OR(Sources!G20="",G23="n.m."),"n.m.",IF(ABS(G19+G23-G24)&lt;0.0000005,"YES","NO"))</f>
        <v>0</v>
      </c>
      <c r="H25" s="16">
        <f>IF(OR(Sources!H20="",H23="n.m."),"n.m.",IF(ABS(H19+H23-H24)&lt;0.0000005,"YES","NO"))</f>
        <v>0</v>
      </c>
      <c r="I25" s="16">
        <f>IF(OR(Sources!I20="",I23="n.m."),"n.m.",IF(ABS(I19+I23-I24)&lt;0.0000005,"YES","NO"))</f>
        <v>0</v>
      </c>
      <c r="J25" s="16">
        <f>IF(OR(Sources!J20="",J23="n.m."),"n.m.",IF(ABS(J19+J23-J24)&lt;0.0000005,"YES","NO"))</f>
        <v>0</v>
      </c>
      <c r="K25" s="9"/>
      <c r="L25" s="16">
        <f>IF(OR(Sources!L20="",L23="n.m."),"n.m.",IF(ABS(L19+L23-L24)&lt;0.0000005,"YES","NO"))</f>
        <v>0</v>
      </c>
      <c r="M25" s="16">
        <f>IF(OR(Sources!M20="",M23="n.m."),"n.m.",IF(ABS(M19+M23-M24)&lt;0.0000005,"YES","NO"))</f>
        <v>0</v>
      </c>
      <c r="N25" s="16">
        <f>IF(OR(Sources!N20="",N23="n.m."),"n.m.",IF(ABS(N19+N23-N24)&lt;0.0000005,"YES","NO"))</f>
        <v>0</v>
      </c>
      <c r="O25" s="16">
        <f>IF(OR(Sources!O20="",O23="n.m."),"n.m.",IF(ABS(O19+O23-O24)&lt;0.0000005,"YES","NO"))</f>
        <v>0</v>
      </c>
      <c r="P25" s="16">
        <f>IF(OR(Sources!P20="",P23="n.m."),"n.m.",IF(ABS(P19+P23-P24)&lt;0.0000005,"YES","NO"))</f>
        <v>0</v>
      </c>
      <c r="Q25" s="16">
        <f>IF(OR(Sources!Q20="",Q23="n.m."),"n.m.",IF(ABS(Q19+Q23-Q24)&lt;0.0000005,"YES","NO"))</f>
        <v>0</v>
      </c>
      <c r="R25" s="16">
        <f>IF(OR(Sources!R20="",R23="n.m."),"n.m.",IF(ABS(R19+R23-R24)&lt;0.0000005,"YES","NO"))</f>
        <v>0</v>
      </c>
      <c r="S25" s="16">
        <f>IF(OR(Sources!S20="",S23="n.m."),"n.m.",IF(ABS(S19+S23-S24)&lt;0.0000005,"YES","NO"))</f>
        <v>0</v>
      </c>
      <c r="T25" s="9"/>
      <c r="U25" s="16">
        <f>IF(OR(Sources!U20="",U23="n.m."),"n.m.",IF(ABS(U19+U23-U24)&lt;0.0000005,"YES","NO"))</f>
        <v>0</v>
      </c>
      <c r="V25" s="16">
        <f>IF(OR(Sources!V20="",V23="n.m."),"n.m.",IF(ABS(V19+V23-V24)&lt;0.0000005,"YES","NO"))</f>
        <v>0</v>
      </c>
      <c r="W25" s="16">
        <f>IF(OR(Sources!W20="",W23="n.m."),"n.m.",IF(ABS(W19+W23-W24)&lt;0.0000005,"YES","NO"))</f>
        <v>0</v>
      </c>
      <c r="X25" s="16">
        <f>IF(OR(Sources!X20="",X23="n.m."),"n.m.",IF(ABS(X19+X23-X24)&lt;0.0000005,"YES","NO"))</f>
        <v>0</v>
      </c>
      <c r="Y25" s="16">
        <f>IF(OR(Sources!Y20="",Y23="n.m."),"n.m.",IF(ABS(Y19+Y23-Y24)&lt;0.0000005,"YES","NO"))</f>
        <v>0</v>
      </c>
      <c r="Z25" s="16">
        <f>IF(OR(Sources!Z20="",Z23="n.m."),"n.m.",IF(ABS(Z19+Z23-Z24)&lt;0.0000005,"YES","NO"))</f>
        <v>0</v>
      </c>
      <c r="AA25" s="16">
        <f>IF(OR(Sources!AA20="",AA23="n.m."),"n.m.",IF(ABS(AA19+AA23-AA24)&lt;0.0000005,"YES","NO"))</f>
        <v>0</v>
      </c>
      <c r="AB25" s="16">
        <f>IF(OR(Sources!AB20="",AB23="n.m."),"n.m.",IF(ABS(AB19+AB23-AB24)&lt;0.0000005,"YES","NO"))</f>
        <v>0</v>
      </c>
    </row>
    <row r="27" spans="1:28">
      <c r="A27" s="11" t="s">
        <v>78</v>
      </c>
      <c r="B27" s="9"/>
      <c r="C27" s="13">
        <f>(Sources!C6)*(1-0.21)/(((((Sources!B11)+(Sources!C11))/2)+(((Sources!B18)+(Sources!C18))/2)))</f>
        <v>0</v>
      </c>
      <c r="D27" s="13">
        <f>(Sources!D6)*(1-0.21)/(((((Sources!C11)+(Sources!D11))/2)+(((Sources!C18)+(Sources!D18))/2)))</f>
        <v>0</v>
      </c>
      <c r="E27" s="13">
        <f>(Sources!E6)*(1-0.21)/(((((Sources!D11)+(Sources!E11))/2)+(((Sources!D18)+(Sources!E18))/2)))</f>
        <v>0</v>
      </c>
      <c r="F27" s="13">
        <f>(Sources!F6)*(1-0.21)/(((((Sources!E11)+(Sources!F11))/2)+(((Sources!E18)+(Sources!F18))/2)))</f>
        <v>0</v>
      </c>
      <c r="G27" s="13">
        <f>(Sources!G6)*(1-0.21)/(((((Sources!F11)+(Sources!G11))/2)+(((Sources!F18)+(Sources!G18))/2)))</f>
        <v>0</v>
      </c>
      <c r="H27" s="13">
        <f>(Sources!H6)*(1-0.21)/(((((Sources!G11)+(Sources!H11))/2)+(((Sources!G18)+(Sources!H18))/2)))</f>
        <v>0</v>
      </c>
      <c r="I27" s="13">
        <f>(Sources!I6)*(1-0.21)/(((((Sources!H11)+(Sources!I11))/2)+(((Sources!H18)+(Sources!I18))/2)))</f>
        <v>0</v>
      </c>
      <c r="J27" s="13">
        <f>(Sources!J6)*(1-0.21)/(((((Sources!I11)+(Sources!J11))/2)+(((Sources!I18)+(Sources!J18))/2)))</f>
        <v>0</v>
      </c>
      <c r="K27" s="9"/>
      <c r="L27" s="13">
        <f>(Sources!L6)*(1-0.21)/(((((Sources!K11)+(Sources!L11))/2)+(((Sources!K18)+(Sources!L18))/2)))</f>
        <v>0</v>
      </c>
      <c r="M27" s="13">
        <f>(Sources!M6)*(1-0.21)/(((((Sources!L11)+(Sources!M11))/2)+(((Sources!L18)+(Sources!M18))/2)))</f>
        <v>0</v>
      </c>
      <c r="N27" s="13">
        <f>(Sources!N6)*(1-0.21)/(((((Sources!M11)+(Sources!N11))/2)+(((Sources!M18)+(Sources!N18))/2)))</f>
        <v>0</v>
      </c>
      <c r="O27" s="13">
        <f>(Sources!O6)*(1-0.21)/(((((Sources!N11)+(Sources!O11))/2)+(((Sources!N18)+(Sources!O18))/2)))</f>
        <v>0</v>
      </c>
      <c r="P27" s="13">
        <f>(Sources!P6)*(1-0.21)/(((((Sources!O11)+(Sources!P11))/2)+(((Sources!O18)+(Sources!P18))/2)))</f>
        <v>0</v>
      </c>
      <c r="Q27" s="13">
        <f>(Sources!Q6)*(1-0.21)/(((((Sources!P11)+(Sources!Q11))/2)+(((Sources!P18)+(Sources!Q18))/2)))</f>
        <v>0</v>
      </c>
      <c r="R27" s="13">
        <f>(Sources!R6)*(1-0.21)/(((((Sources!Q11)+(Sources!R11))/2)+(((Sources!Q18)+(Sources!R18))/2)))</f>
        <v>0</v>
      </c>
      <c r="S27" s="13">
        <f>(Sources!S6)*(1-0.21)/(((((Sources!R11)+(Sources!S11))/2)+(((Sources!R18)+(Sources!S18))/2)))</f>
        <v>0</v>
      </c>
      <c r="T27" s="9"/>
      <c r="U27" s="13">
        <f>(Sources!U6)*(1-0.21)/(((((Sources!T11)+(Sources!U11))/2)+(((Sources!T18)+(Sources!U18))/2)))</f>
        <v>0</v>
      </c>
      <c r="V27" s="13">
        <f>(Sources!V6)*(1-0.21)/(((((Sources!U11)+(Sources!V11))/2)+(((Sources!U18)+(Sources!V18))/2)))</f>
        <v>0</v>
      </c>
      <c r="W27" s="13">
        <f>(Sources!W6)*(1-0.21)/(((((Sources!V11)+(Sources!W11))/2)+(((Sources!V18)+(Sources!W18))/2)))</f>
        <v>0</v>
      </c>
      <c r="X27" s="13">
        <f>(Sources!X6)*(1-0.21)/(((((Sources!W11)+(Sources!X11))/2)+(((Sources!W18)+(Sources!X18))/2)))</f>
        <v>0</v>
      </c>
      <c r="Y27" s="13">
        <f>(Sources!Y6)*(1-0.21)/(((((Sources!X11)+(Sources!Y11))/2)+(((Sources!X18)+(Sources!Y18))/2)))</f>
        <v>0</v>
      </c>
      <c r="Z27" s="13">
        <f>(Sources!Z6)*(1-0.21)/(((((Sources!Y11)+(Sources!Z11))/2)+(((Sources!Y18)+(Sources!Z18))/2)))</f>
        <v>0</v>
      </c>
      <c r="AA27" s="13">
        <f>(Sources!AA6)*(1-0.21)/(((((Sources!Z11)+(Sources!AA11))/2)+(((Sources!Z18)+(Sources!AA18))/2)))</f>
        <v>0</v>
      </c>
      <c r="AB27" s="13">
        <f>(Sources!AB6)*(1-0.21)/(((((Sources!AA11)+(Sources!AB11))/2)+(((Sources!AA18)+(Sources!AB18))/2)))</f>
        <v>0</v>
      </c>
    </row>
    <row r="29" spans="1:28">
      <c r="A29" s="8" t="s">
        <v>79</v>
      </c>
    </row>
    <row r="30" spans="1:28">
      <c r="A30" s="8" t="s">
        <v>80</v>
      </c>
      <c r="B30" s="9"/>
      <c r="C30" s="15">
        <f>C10*4</f>
        <v>0</v>
      </c>
      <c r="D30" s="15">
        <f>D10*4</f>
        <v>0</v>
      </c>
      <c r="E30" s="15">
        <f>E10*4</f>
        <v>0</v>
      </c>
      <c r="F30" s="15">
        <f>F10*4</f>
        <v>0</v>
      </c>
      <c r="G30" s="15">
        <f>G10*4</f>
        <v>0</v>
      </c>
      <c r="H30" s="15">
        <f>H10*4</f>
        <v>0</v>
      </c>
      <c r="I30" s="15">
        <f>I10*4</f>
        <v>0</v>
      </c>
      <c r="J30" s="15">
        <f>J10*4</f>
        <v>0</v>
      </c>
      <c r="K30" s="9"/>
      <c r="L30" s="15">
        <f>L10*4</f>
        <v>0</v>
      </c>
      <c r="M30" s="15">
        <f>M10*4</f>
        <v>0</v>
      </c>
      <c r="N30" s="15">
        <f>N10*4</f>
        <v>0</v>
      </c>
      <c r="O30" s="15">
        <f>O10*4</f>
        <v>0</v>
      </c>
      <c r="P30" s="15">
        <f>P10*4</f>
        <v>0</v>
      </c>
      <c r="Q30" s="15">
        <f>Q10*4</f>
        <v>0</v>
      </c>
      <c r="R30" s="15">
        <f>R10*4</f>
        <v>0</v>
      </c>
      <c r="S30" s="15">
        <f>S10*4</f>
        <v>0</v>
      </c>
      <c r="T30" s="9"/>
      <c r="U30" s="15">
        <f>U10*4</f>
        <v>0</v>
      </c>
      <c r="V30" s="15">
        <f>V10*4</f>
        <v>0</v>
      </c>
      <c r="W30" s="15">
        <f>W10*4</f>
        <v>0</v>
      </c>
      <c r="X30" s="15">
        <f>X10*4</f>
        <v>0</v>
      </c>
      <c r="Y30" s="15">
        <f>Y10*4</f>
        <v>0</v>
      </c>
      <c r="Z30" s="15">
        <f>Z10*4</f>
        <v>0</v>
      </c>
      <c r="AA30" s="15">
        <f>AA10*4</f>
        <v>0</v>
      </c>
      <c r="AB30" s="15">
        <f>AB10*4</f>
        <v>0</v>
      </c>
    </row>
    <row r="31" spans="1:28">
      <c r="A31" s="11" t="s">
        <v>81</v>
      </c>
      <c r="B31" s="9"/>
      <c r="C31" s="14">
        <f>C8*4</f>
        <v>0</v>
      </c>
      <c r="D31" s="14">
        <f>D8*4</f>
        <v>0</v>
      </c>
      <c r="E31" s="14">
        <f>E8*4</f>
        <v>0</v>
      </c>
      <c r="F31" s="14">
        <f>F8*4</f>
        <v>0</v>
      </c>
      <c r="G31" s="14">
        <f>G8*4</f>
        <v>0</v>
      </c>
      <c r="H31" s="14">
        <f>H8*4</f>
        <v>0</v>
      </c>
      <c r="I31" s="14">
        <f>I8*4</f>
        <v>0</v>
      </c>
      <c r="J31" s="14">
        <f>J8*4</f>
        <v>0</v>
      </c>
      <c r="K31" s="9"/>
      <c r="L31" s="14">
        <f>L8*4</f>
        <v>0</v>
      </c>
      <c r="M31" s="14">
        <f>M8*4</f>
        <v>0</v>
      </c>
      <c r="N31" s="14">
        <f>N8*4</f>
        <v>0</v>
      </c>
      <c r="O31" s="14">
        <f>O8*4</f>
        <v>0</v>
      </c>
      <c r="P31" s="14">
        <f>P8*4</f>
        <v>0</v>
      </c>
      <c r="Q31" s="14">
        <f>Q8*4</f>
        <v>0</v>
      </c>
      <c r="R31" s="14">
        <f>R8*4</f>
        <v>0</v>
      </c>
      <c r="S31" s="14">
        <f>S8*4</f>
        <v>0</v>
      </c>
      <c r="T31" s="9"/>
      <c r="U31" s="14">
        <f>U8*4</f>
        <v>0</v>
      </c>
      <c r="V31" s="14">
        <f>V8*4</f>
        <v>0</v>
      </c>
      <c r="W31" s="14">
        <f>W8*4</f>
        <v>0</v>
      </c>
      <c r="X31" s="14">
        <f>X8*4</f>
        <v>0</v>
      </c>
      <c r="Y31" s="14">
        <f>Y8*4</f>
        <v>0</v>
      </c>
      <c r="Z31" s="14">
        <f>Z8*4</f>
        <v>0</v>
      </c>
      <c r="AA31" s="14">
        <f>AA8*4</f>
        <v>0</v>
      </c>
      <c r="AB31" s="14">
        <f>AB8*4</f>
        <v>0</v>
      </c>
    </row>
    <row r="32" spans="1:28">
      <c r="A32" s="8" t="s">
        <v>82</v>
      </c>
      <c r="B32" s="9"/>
      <c r="C32" s="15">
        <f>IF(C16="n.m.","n.m.",C16*4)</f>
        <v>0</v>
      </c>
      <c r="D32" s="15">
        <f>IF(D16="n.m.","n.m.",D16*4)</f>
        <v>0</v>
      </c>
      <c r="E32" s="15">
        <f>IF(E16="n.m.","n.m.",E16*4)</f>
        <v>0</v>
      </c>
      <c r="F32" s="15">
        <f>IF(F16="n.m.","n.m.",F16*4)</f>
        <v>0</v>
      </c>
      <c r="G32" s="15">
        <f>IF(G16="n.m.","n.m.",G16*4)</f>
        <v>0</v>
      </c>
      <c r="H32" s="15">
        <f>IF(H16="n.m.","n.m.",H16*4)</f>
        <v>0</v>
      </c>
      <c r="I32" s="15">
        <f>IF(I16="n.m.","n.m.",I16*4)</f>
        <v>0</v>
      </c>
      <c r="J32" s="15">
        <f>IF(J16="n.m.","n.m.",J16*4)</f>
        <v>0</v>
      </c>
      <c r="K32" s="9"/>
      <c r="L32" s="15">
        <f>IF(L16="n.m.","n.m.",L16*4)</f>
        <v>0</v>
      </c>
      <c r="M32" s="15">
        <f>IF(M16="n.m.","n.m.",M16*4)</f>
        <v>0</v>
      </c>
      <c r="N32" s="15">
        <f>IF(N16="n.m.","n.m.",N16*4)</f>
        <v>0</v>
      </c>
      <c r="O32" s="15">
        <f>IF(O16="n.m.","n.m.",O16*4)</f>
        <v>0</v>
      </c>
      <c r="P32" s="15">
        <f>IF(P16="n.m.","n.m.",P16*4)</f>
        <v>0</v>
      </c>
      <c r="Q32" s="15">
        <f>IF(Q16="n.m.","n.m.",Q16*4)</f>
        <v>0</v>
      </c>
      <c r="R32" s="15">
        <f>IF(R16="n.m.","n.m.",R16*4)</f>
        <v>0</v>
      </c>
      <c r="S32" s="15">
        <f>IF(S16="n.m.","n.m.",S16*4)</f>
        <v>0</v>
      </c>
      <c r="T32" s="9"/>
      <c r="U32" s="15">
        <f>IF(U16="n.m.","n.m.",U16*4)</f>
        <v>0</v>
      </c>
      <c r="V32" s="15">
        <f>IF(V16="n.m.","n.m.",V16*4)</f>
        <v>0</v>
      </c>
      <c r="W32" s="15">
        <f>IF(W16="n.m.","n.m.",W16*4)</f>
        <v>0</v>
      </c>
      <c r="X32" s="15">
        <f>IF(X16="n.m.","n.m.",X16*4)</f>
        <v>0</v>
      </c>
      <c r="Y32" s="15">
        <f>IF(Y16="n.m.","n.m.",Y16*4)</f>
        <v>0</v>
      </c>
      <c r="Z32" s="15">
        <f>IF(Z16="n.m.","n.m.",Z16*4)</f>
        <v>0</v>
      </c>
      <c r="AA32" s="15">
        <f>IF(AA16="n.m.","n.m.",AA16*4)</f>
        <v>0</v>
      </c>
      <c r="AB32" s="15">
        <f>IF(AB16="n.m.","n.m.",AB16*4)</f>
        <v>0</v>
      </c>
    </row>
    <row r="33" spans="1:28">
      <c r="A33" s="11" t="s">
        <v>83</v>
      </c>
      <c r="B33" s="9"/>
      <c r="C33" s="13">
        <f>C27*4</f>
        <v>0</v>
      </c>
      <c r="D33" s="13">
        <f>D27*4</f>
        <v>0</v>
      </c>
      <c r="E33" s="13">
        <f>E27*4</f>
        <v>0</v>
      </c>
      <c r="F33" s="13">
        <f>F27*4</f>
        <v>0</v>
      </c>
      <c r="G33" s="13">
        <f>G27*4</f>
        <v>0</v>
      </c>
      <c r="H33" s="13">
        <f>H27*4</f>
        <v>0</v>
      </c>
      <c r="I33" s="13">
        <f>I27*4</f>
        <v>0</v>
      </c>
      <c r="J33" s="13">
        <f>J27*4</f>
        <v>0</v>
      </c>
      <c r="K33" s="9"/>
      <c r="L33" s="13">
        <f>L27*4</f>
        <v>0</v>
      </c>
      <c r="M33" s="13">
        <f>M27*4</f>
        <v>0</v>
      </c>
      <c r="N33" s="13">
        <f>N27*4</f>
        <v>0</v>
      </c>
      <c r="O33" s="13">
        <f>O27*4</f>
        <v>0</v>
      </c>
      <c r="P33" s="13">
        <f>P27*4</f>
        <v>0</v>
      </c>
      <c r="Q33" s="13">
        <f>Q27*4</f>
        <v>0</v>
      </c>
      <c r="R33" s="13">
        <f>R27*4</f>
        <v>0</v>
      </c>
      <c r="S33" s="13">
        <f>S27*4</f>
        <v>0</v>
      </c>
      <c r="T33" s="9"/>
      <c r="U33" s="13">
        <f>U27*4</f>
        <v>0</v>
      </c>
      <c r="V33" s="13">
        <f>V27*4</f>
        <v>0</v>
      </c>
      <c r="W33" s="13">
        <f>W27*4</f>
        <v>0</v>
      </c>
      <c r="X33" s="13">
        <f>X27*4</f>
        <v>0</v>
      </c>
      <c r="Y33" s="13">
        <f>Y27*4</f>
        <v>0</v>
      </c>
      <c r="Z33" s="13">
        <f>Z27*4</f>
        <v>0</v>
      </c>
      <c r="AA33" s="13">
        <f>AA27*4</f>
        <v>0</v>
      </c>
      <c r="AB33" s="13">
        <f>AB27*4</f>
        <v>0</v>
      </c>
    </row>
    <row r="35" spans="1:28" ht="48" customHeight="1">
      <c r="A35" s="2" t="s">
        <v>84</v>
      </c>
    </row>
  </sheetData>
  <mergeCells count="3">
    <mergeCell ref="B3:J3"/>
    <mergeCell ref="K3:S3"/>
    <mergeCell ref="T3:AB3"/>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33"/>
  <sheetViews>
    <sheetView workbookViewId="0"/>
  </sheetViews>
  <sheetFormatPr defaultRowHeight="15"/>
  <cols>
    <col min="1" max="1" width="62.7109375" customWidth="1"/>
    <col min="2" max="4" width="18.7109375" customWidth="1"/>
  </cols>
  <sheetData>
    <row r="1" spans="1:4">
      <c r="A1" s="1" t="s">
        <v>85</v>
      </c>
    </row>
    <row r="2" spans="1:4" ht="32" customHeight="1">
      <c r="A2" s="2" t="s">
        <v>86</v>
      </c>
    </row>
    <row r="4" spans="1:4">
      <c r="A4" s="3" t="s">
        <v>2</v>
      </c>
      <c r="B4" s="5" t="s">
        <v>50</v>
      </c>
      <c r="C4" s="6" t="s">
        <v>60</v>
      </c>
      <c r="D4" s="7" t="s">
        <v>61</v>
      </c>
    </row>
    <row r="5" spans="1:4">
      <c r="A5" s="8" t="s">
        <v>87</v>
      </c>
      <c r="B5" s="10">
        <f>SUM(Sources!G5,Sources!H5,Sources!I5,Sources!J5)</f>
        <v>0</v>
      </c>
      <c r="C5" s="10">
        <f>SUM(Sources!P5,Sources!Q5,Sources!R5,Sources!S5)</f>
        <v>0</v>
      </c>
      <c r="D5" s="10">
        <f>SUM(Sources!Y5,Sources!Z5,Sources!AA5,Sources!AB5)</f>
        <v>0</v>
      </c>
    </row>
    <row r="6" spans="1:4">
      <c r="A6" s="11" t="s">
        <v>88</v>
      </c>
      <c r="B6" s="12">
        <f>SUM(Sources!G6,Sources!H6,Sources!I6,Sources!J6)</f>
        <v>0</v>
      </c>
      <c r="C6" s="12">
        <f>SUM(Sources!P6,Sources!Q6,Sources!R6,Sources!S6)</f>
        <v>0</v>
      </c>
      <c r="D6" s="12">
        <f>SUM(Sources!Y6,Sources!Z6,Sources!AA6,Sources!AB6)</f>
        <v>0</v>
      </c>
    </row>
    <row r="7" spans="1:4">
      <c r="A7" s="11" t="s">
        <v>89</v>
      </c>
      <c r="B7" s="10">
        <f>SUM(Sources!G7,Sources!H7,Sources!I7,Sources!J7)</f>
        <v>0</v>
      </c>
      <c r="C7" s="10">
        <f>SUM(Sources!P7,Sources!Q7,Sources!R7,Sources!S7)</f>
        <v>0</v>
      </c>
      <c r="D7" s="10">
        <f>SUM(Sources!Y7,Sources!Z7,Sources!AA7,Sources!AB7)</f>
        <v>0</v>
      </c>
    </row>
    <row r="8" spans="1:4">
      <c r="A8" s="11" t="s">
        <v>90</v>
      </c>
      <c r="B8" s="15">
        <f>SUM(Sources!G6,Sources!H6,Sources!I6,Sources!J6)/SUM(Sources!G5,Sources!H5,Sources!I5,Sources!J5)</f>
        <v>0</v>
      </c>
      <c r="C8" s="15">
        <f>SUM(Sources!P6,Sources!Q6,Sources!R6,Sources!S6)/SUM(Sources!P5,Sources!Q5,Sources!R5,Sources!S5)</f>
        <v>0</v>
      </c>
      <c r="D8" s="15">
        <f>SUM(Sources!Y6,Sources!Z6,Sources!AA6,Sources!AB6)/SUM(Sources!Y5,Sources!Z5,Sources!AA5,Sources!AB5)</f>
        <v>0</v>
      </c>
    </row>
    <row r="9" spans="1:4">
      <c r="A9" s="11" t="s">
        <v>91</v>
      </c>
      <c r="B9" s="13">
        <f>SUM(Sources!G7,Sources!H7,Sources!I7,Sources!J7)/SUM(Sources!G5,Sources!H5,Sources!I5,Sources!J5)</f>
        <v>0</v>
      </c>
      <c r="C9" s="13">
        <f>SUM(Sources!P7,Sources!Q7,Sources!R7,Sources!S7)/SUM(Sources!P5,Sources!Q5,Sources!R5,Sources!S5)</f>
        <v>0</v>
      </c>
      <c r="D9" s="13">
        <f>SUM(Sources!Y7,Sources!Z7,Sources!AA7,Sources!AB7)/SUM(Sources!Y5,Sources!Z5,Sources!AA5,Sources!AB5)</f>
        <v>0</v>
      </c>
    </row>
    <row r="10" spans="1:4">
      <c r="A10" s="8" t="s">
        <v>92</v>
      </c>
      <c r="B10" s="15">
        <f>SUM(Sources!G7,Sources!H7,Sources!I7,Sources!J7)/(((Sources!F11)+(Sources!J11))/2)</f>
        <v>0</v>
      </c>
      <c r="C10" s="15">
        <f>SUM(Sources!P7,Sources!Q7,Sources!R7,Sources!S7)/(((Sources!O11)+(Sources!S11))/2)</f>
        <v>0</v>
      </c>
      <c r="D10" s="15">
        <f>SUM(Sources!Y7,Sources!Z7,Sources!AA7,Sources!AB7)/(((Sources!X11)+(Sources!AB11))/2)</f>
        <v>0</v>
      </c>
    </row>
    <row r="11" spans="1:4">
      <c r="A11" s="11" t="s">
        <v>93</v>
      </c>
      <c r="B11" s="14">
        <f>SUM(Sources!G5,Sources!H5,Sources!I5,Sources!J5)/(((Sources!F10)+(Sources!J10))/2)</f>
        <v>0</v>
      </c>
      <c r="C11" s="14">
        <f>SUM(Sources!P5,Sources!Q5,Sources!R5,Sources!S5)/(((Sources!O10)+(Sources!S10))/2)</f>
        <v>0</v>
      </c>
      <c r="D11" s="14">
        <f>SUM(Sources!Y5,Sources!Z5,Sources!AA5,Sources!AB5)/(((Sources!X10)+(Sources!AB10))/2)</f>
        <v>0</v>
      </c>
    </row>
    <row r="12" spans="1:4">
      <c r="A12" s="11" t="s">
        <v>94</v>
      </c>
      <c r="B12" s="14">
        <f>(((Sources!F10)+(Sources!J10))/2)/(((Sources!F11)+(Sources!J11))/2)</f>
        <v>0</v>
      </c>
      <c r="C12" s="14">
        <f>(((Sources!O10)+(Sources!S10))/2)/(((Sources!O11)+(Sources!S11))/2)</f>
        <v>0</v>
      </c>
      <c r="D12" s="14">
        <f>(((Sources!X10)+(Sources!AB10))/2)/(((Sources!X11)+(Sources!AB11))/2)</f>
        <v>0</v>
      </c>
    </row>
    <row r="13" spans="1:4">
      <c r="A13" s="8" t="s">
        <v>98</v>
      </c>
      <c r="B13" s="16">
        <f>IF(ABS(B9*B11*B12-B10)&lt;0.0000005,"YES","NO")</f>
        <v>0</v>
      </c>
      <c r="C13" s="16">
        <f>IF(ABS(C9*C11*C12-C10)&lt;0.0000005,"YES","NO")</f>
        <v>0</v>
      </c>
      <c r="D13" s="16">
        <f>IF(ABS(D9*D11*D12-D10)&lt;0.0000005,"YES","NO")</f>
        <v>0</v>
      </c>
    </row>
    <row r="14" spans="1:4">
      <c r="A14" s="8" t="s">
        <v>95</v>
      </c>
      <c r="B14" s="15">
        <f>IF(COUNTA(Sources!G9,Sources!H9,Sources!I9,Sources!J9)&lt;4,"n.m.",(SUM(Sources!G7,Sources!H7,Sources!I7,Sources!J7)+(SUM(Sources!G8,Sources!H8,Sources!I8,Sources!J8)-SUM(Sources!G9,Sources!H9,Sources!I9,Sources!J9))*(1-0.21))/((((Sources!F11)+(Sources!J11))/2)+(((Sources!F18)+(Sources!J18))/2)))</f>
        <v>0</v>
      </c>
      <c r="C14" s="15">
        <f>IF(COUNTA(Sources!P9,Sources!Q9,Sources!R9,Sources!S9)&lt;4,"n.m.",(SUM(Sources!P7,Sources!Q7,Sources!R7,Sources!S7)+(SUM(Sources!P8,Sources!Q8,Sources!R8,Sources!S8)-SUM(Sources!P9,Sources!Q9,Sources!R9,Sources!S9))*(1-0.21))/((((Sources!O11)+(Sources!S11))/2)+(((Sources!O18)+(Sources!S18))/2)))</f>
        <v>0</v>
      </c>
      <c r="D14" s="15">
        <f>IF(COUNTA(Sources!Y9,Sources!Z9,Sources!AA9,Sources!AB9)&lt;4,"n.m.",(SUM(Sources!Y7,Sources!Z7,Sources!AA7,Sources!AB7)+(SUM(Sources!Y8,Sources!Z8,Sources!AA8,Sources!AB8)-SUM(Sources!Y9,Sources!Z9,Sources!AA9,Sources!AB9))*(1-0.21))/((((Sources!X11)+(Sources!AB11))/2)+(((Sources!X18)+(Sources!AB18))/2)))</f>
        <v>0</v>
      </c>
    </row>
    <row r="15" spans="1:4">
      <c r="A15" s="11" t="s">
        <v>96</v>
      </c>
      <c r="B15" s="13">
        <f>SUM(Sources!G6,Sources!H6,Sources!I6,Sources!J6)*(1-0.21)/((((Sources!F11)+(Sources!J11))/2)+(((Sources!F18)+(Sources!J18))/2))</f>
        <v>0</v>
      </c>
      <c r="C15" s="13">
        <f>SUM(Sources!P6,Sources!Q6,Sources!R6,Sources!S6)*(1-0.21)/((((Sources!O11)+(Sources!S11))/2)+(((Sources!O18)+(Sources!S18))/2))</f>
        <v>0</v>
      </c>
      <c r="D15" s="13">
        <f>SUM(Sources!Y6,Sources!Z6,Sources!AA6,Sources!AB6)*(1-0.21)/((((Sources!X11)+(Sources!AB11))/2)+(((Sources!X18)+(Sources!AB18))/2))</f>
        <v>0</v>
      </c>
    </row>
    <row r="16" spans="1:4">
      <c r="A16" s="11" t="s">
        <v>97</v>
      </c>
      <c r="B16" s="12">
        <f>Sources!J18</f>
        <v>0</v>
      </c>
      <c r="C16" s="12">
        <f>Sources!S18</f>
        <v>0</v>
      </c>
      <c r="D16" s="12">
        <f>Sources!AB18</f>
        <v>0</v>
      </c>
    </row>
    <row r="18" spans="1:4">
      <c r="A18" s="8" t="s">
        <v>99</v>
      </c>
    </row>
    <row r="19" spans="1:4">
      <c r="A19" s="3" t="s">
        <v>100</v>
      </c>
      <c r="B19" s="5" t="s">
        <v>50</v>
      </c>
      <c r="C19" s="6" t="s">
        <v>60</v>
      </c>
      <c r="D19" s="7" t="s">
        <v>61</v>
      </c>
    </row>
    <row r="20" spans="1:4">
      <c r="A20" s="11" t="s">
        <v>55</v>
      </c>
      <c r="B20" s="13">
        <f>SUM(Sources!C7,Sources!D7,Sources!E7,Sources!F7)/(((Sources!B11)+(Sources!F11))/2)</f>
        <v>0</v>
      </c>
      <c r="C20" s="13">
        <f>SUM(Sources!L7,Sources!M7,Sources!N7,Sources!O7)/(((Sources!K11)+(Sources!O11))/2)</f>
        <v>0</v>
      </c>
      <c r="D20" s="13">
        <f>SUM(Sources!U7,Sources!V7,Sources!W7,Sources!X7)/(((Sources!T11)+(Sources!X11))/2)</f>
        <v>0</v>
      </c>
    </row>
    <row r="21" spans="1:4">
      <c r="A21" s="11" t="s">
        <v>56</v>
      </c>
      <c r="B21" s="13">
        <f>SUM(Sources!D7,Sources!E7,Sources!F7,Sources!G7)/(((Sources!C11)+(Sources!G11))/2)</f>
        <v>0</v>
      </c>
      <c r="C21" s="13">
        <f>SUM(Sources!M7,Sources!N7,Sources!O7,Sources!P7)/(((Sources!L11)+(Sources!P11))/2)</f>
        <v>0</v>
      </c>
      <c r="D21" s="13">
        <f>SUM(Sources!V7,Sources!W7,Sources!X7,Sources!Y7)/(((Sources!U11)+(Sources!Y11))/2)</f>
        <v>0</v>
      </c>
    </row>
    <row r="22" spans="1:4">
      <c r="A22" s="11" t="s">
        <v>57</v>
      </c>
      <c r="B22" s="13">
        <f>SUM(Sources!E7,Sources!F7,Sources!G7,Sources!H7)/(((Sources!D11)+(Sources!H11))/2)</f>
        <v>0</v>
      </c>
      <c r="C22" s="13">
        <f>SUM(Sources!N7,Sources!O7,Sources!P7,Sources!Q7)/(((Sources!M11)+(Sources!Q11))/2)</f>
        <v>0</v>
      </c>
      <c r="D22" s="13">
        <f>SUM(Sources!W7,Sources!X7,Sources!Y7,Sources!Z7)/(((Sources!V11)+(Sources!Z11))/2)</f>
        <v>0</v>
      </c>
    </row>
    <row r="23" spans="1:4">
      <c r="A23" s="11" t="s">
        <v>58</v>
      </c>
      <c r="B23" s="13">
        <f>SUM(Sources!F7,Sources!G7,Sources!H7,Sources!I7)/(((Sources!E11)+(Sources!I11))/2)</f>
        <v>0</v>
      </c>
      <c r="C23" s="13">
        <f>SUM(Sources!O7,Sources!P7,Sources!Q7,Sources!R7)/(((Sources!N11)+(Sources!R11))/2)</f>
        <v>0</v>
      </c>
      <c r="D23" s="13">
        <f>SUM(Sources!X7,Sources!Y7,Sources!Z7,Sources!AA7)/(((Sources!W11)+(Sources!AA11))/2)</f>
        <v>0</v>
      </c>
    </row>
    <row r="24" spans="1:4">
      <c r="A24" s="11" t="s">
        <v>59</v>
      </c>
      <c r="B24" s="13">
        <f>SUM(Sources!G7,Sources!H7,Sources!I7,Sources!J7)/(((Sources!F11)+(Sources!J11))/2)</f>
        <v>0</v>
      </c>
      <c r="C24" s="13">
        <f>SUM(Sources!P7,Sources!Q7,Sources!R7,Sources!S7)/(((Sources!O11)+(Sources!S11))/2)</f>
        <v>0</v>
      </c>
      <c r="D24" s="13">
        <f>SUM(Sources!Y7,Sources!Z7,Sources!AA7,Sources!AB7)/(((Sources!X11)+(Sources!AB11))/2)</f>
        <v>0</v>
      </c>
    </row>
    <row r="26" spans="1:4">
      <c r="A26" s="8" t="s">
        <v>101</v>
      </c>
    </row>
    <row r="27" spans="1:4">
      <c r="A27" s="11" t="s">
        <v>55</v>
      </c>
      <c r="B27" s="13">
        <f>SUM(Sources!C6,Sources!D6,Sources!E6,Sources!F6)/SUM(Sources!C5,Sources!D5,Sources!E5,Sources!F5)</f>
        <v>0</v>
      </c>
      <c r="C27" s="13">
        <f>SUM(Sources!L6,Sources!M6,Sources!N6,Sources!O6)/SUM(Sources!L5,Sources!M5,Sources!N5,Sources!O5)</f>
        <v>0</v>
      </c>
      <c r="D27" s="13">
        <f>SUM(Sources!U6,Sources!V6,Sources!W6,Sources!X6)/SUM(Sources!U5,Sources!V5,Sources!W5,Sources!X5)</f>
        <v>0</v>
      </c>
    </row>
    <row r="28" spans="1:4">
      <c r="A28" s="11" t="s">
        <v>56</v>
      </c>
      <c r="B28" s="13">
        <f>SUM(Sources!D6,Sources!E6,Sources!F6,Sources!G6)/SUM(Sources!D5,Sources!E5,Sources!F5,Sources!G5)</f>
        <v>0</v>
      </c>
      <c r="C28" s="13">
        <f>SUM(Sources!M6,Sources!N6,Sources!O6,Sources!P6)/SUM(Sources!M5,Sources!N5,Sources!O5,Sources!P5)</f>
        <v>0</v>
      </c>
      <c r="D28" s="13">
        <f>SUM(Sources!V6,Sources!W6,Sources!X6,Sources!Y6)/SUM(Sources!V5,Sources!W5,Sources!X5,Sources!Y5)</f>
        <v>0</v>
      </c>
    </row>
    <row r="29" spans="1:4">
      <c r="A29" s="11" t="s">
        <v>57</v>
      </c>
      <c r="B29" s="13">
        <f>SUM(Sources!E6,Sources!F6,Sources!G6,Sources!H6)/SUM(Sources!E5,Sources!F5,Sources!G5,Sources!H5)</f>
        <v>0</v>
      </c>
      <c r="C29" s="13">
        <f>SUM(Sources!N6,Sources!O6,Sources!P6,Sources!Q6)/SUM(Sources!N5,Sources!O5,Sources!P5,Sources!Q5)</f>
        <v>0</v>
      </c>
      <c r="D29" s="13">
        <f>SUM(Sources!W6,Sources!X6,Sources!Y6,Sources!Z6)/SUM(Sources!W5,Sources!X5,Sources!Y5,Sources!Z5)</f>
        <v>0</v>
      </c>
    </row>
    <row r="30" spans="1:4">
      <c r="A30" s="11" t="s">
        <v>58</v>
      </c>
      <c r="B30" s="13">
        <f>SUM(Sources!F6,Sources!G6,Sources!H6,Sources!I6)/SUM(Sources!F5,Sources!G5,Sources!H5,Sources!I5)</f>
        <v>0</v>
      </c>
      <c r="C30" s="13">
        <f>SUM(Sources!O6,Sources!P6,Sources!Q6,Sources!R6)/SUM(Sources!O5,Sources!P5,Sources!Q5,Sources!R5)</f>
        <v>0</v>
      </c>
      <c r="D30" s="13">
        <f>SUM(Sources!X6,Sources!Y6,Sources!Z6,Sources!AA6)/SUM(Sources!X5,Sources!Y5,Sources!Z5,Sources!AA5)</f>
        <v>0</v>
      </c>
    </row>
    <row r="31" spans="1:4">
      <c r="A31" s="11" t="s">
        <v>59</v>
      </c>
      <c r="B31" s="13">
        <f>SUM(Sources!G6,Sources!H6,Sources!I6,Sources!J6)/SUM(Sources!G5,Sources!H5,Sources!I5,Sources!J5)</f>
        <v>0</v>
      </c>
      <c r="C31" s="13">
        <f>SUM(Sources!P6,Sources!Q6,Sources!R6,Sources!S6)/SUM(Sources!P5,Sources!Q5,Sources!R5,Sources!S5)</f>
        <v>0</v>
      </c>
      <c r="D31" s="13">
        <f>SUM(Sources!Y6,Sources!Z6,Sources!AA6,Sources!AB6)/SUM(Sources!Y5,Sources!Z5,Sources!AA5,Sources!AB5)</f>
        <v>0</v>
      </c>
    </row>
    <row r="33" spans="1:1" ht="32" customHeight="1">
      <c r="A33" s="2"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21"/>
  <sheetViews>
    <sheetView workbookViewId="0"/>
  </sheetViews>
  <sheetFormatPr defaultRowHeight="15"/>
  <cols>
    <col min="1" max="1" width="46.7109375" customWidth="1"/>
    <col min="2" max="9" width="16.7109375" customWidth="1"/>
  </cols>
  <sheetData>
    <row r="1" spans="1:9">
      <c r="A1" s="1" t="s">
        <v>103</v>
      </c>
    </row>
    <row r="2" spans="1:9" ht="48" customHeight="1">
      <c r="A2" s="2" t="s">
        <v>104</v>
      </c>
    </row>
    <row r="4" spans="1:9">
      <c r="A4" s="5" t="s">
        <v>50</v>
      </c>
    </row>
    <row r="5" spans="1:9">
      <c r="A5" s="11" t="s">
        <v>105</v>
      </c>
      <c r="B5" s="13">
        <v>0.135</v>
      </c>
      <c r="D5" s="11" t="s">
        <v>111</v>
      </c>
      <c r="E5" s="13">
        <v>0.6521426284537362</v>
      </c>
    </row>
    <row r="6" spans="1:9">
      <c r="A6" s="11" t="s">
        <v>106</v>
      </c>
      <c r="B6" s="13">
        <v>0.03</v>
      </c>
      <c r="D6" s="11" t="s">
        <v>112</v>
      </c>
      <c r="E6" s="13">
        <v>0.55</v>
      </c>
    </row>
    <row r="7" spans="1:9">
      <c r="A7" s="11" t="s">
        <v>107</v>
      </c>
      <c r="B7" s="13">
        <f>(1+B6)^(1/4)-1</f>
        <v>0</v>
      </c>
      <c r="D7" s="11" t="s">
        <v>113</v>
      </c>
      <c r="E7" s="14">
        <v>0.9365174004456021</v>
      </c>
    </row>
    <row r="8" spans="1:9">
      <c r="A8" s="11" t="s">
        <v>108</v>
      </c>
      <c r="B8" s="13">
        <f>B5/4</f>
        <v>0</v>
      </c>
      <c r="D8" s="11" t="s">
        <v>114</v>
      </c>
      <c r="E8" s="14">
        <v>1.201741020132887</v>
      </c>
    </row>
    <row r="9" spans="1:9">
      <c r="A9" s="11" t="s">
        <v>109</v>
      </c>
      <c r="B9" s="12">
        <v>24285</v>
      </c>
      <c r="D9" s="11" t="s">
        <v>115</v>
      </c>
      <c r="E9" s="13">
        <v>0.7149672778138583</v>
      </c>
    </row>
    <row r="10" spans="1:9">
      <c r="A10" s="8" t="s">
        <v>110</v>
      </c>
      <c r="B10" s="10">
        <v>228984</v>
      </c>
      <c r="D10" s="2" t="s">
        <v>116</v>
      </c>
      <c r="E10" s="2"/>
      <c r="F10" s="2"/>
      <c r="G10" s="2"/>
      <c r="H10" s="2"/>
      <c r="I10" s="2"/>
    </row>
    <row r="12" spans="1:9">
      <c r="A12" s="3" t="s">
        <v>117</v>
      </c>
      <c r="B12" s="3" t="s">
        <v>30</v>
      </c>
      <c r="C12" s="3" t="s">
        <v>118</v>
      </c>
      <c r="D12" s="3" t="s">
        <v>31</v>
      </c>
      <c r="E12" s="3" t="s">
        <v>119</v>
      </c>
      <c r="F12" s="3" t="s">
        <v>120</v>
      </c>
      <c r="G12" s="3" t="s">
        <v>121</v>
      </c>
      <c r="H12" s="3" t="s">
        <v>122</v>
      </c>
      <c r="I12" s="3" t="s">
        <v>123</v>
      </c>
    </row>
    <row r="13" spans="1:9">
      <c r="A13" s="12">
        <v>1</v>
      </c>
      <c r="B13" s="12">
        <v>108000</v>
      </c>
      <c r="C13" s="13">
        <v>0.6470354970310493</v>
      </c>
      <c r="D13" s="12">
        <v>69879.83367935332</v>
      </c>
      <c r="E13" s="12">
        <v>65443.680180959</v>
      </c>
      <c r="F13" s="12">
        <v>257015.329294021</v>
      </c>
      <c r="G13" s="12">
        <f>B10</f>
        <v>0</v>
      </c>
      <c r="H13" s="12">
        <f>E13-(B$8*G13)</f>
        <v>0</v>
      </c>
      <c r="I13" s="12">
        <f>H13/(1+B$8)^A13</f>
        <v>0</v>
      </c>
    </row>
    <row r="14" spans="1:9">
      <c r="A14" s="12">
        <v>2</v>
      </c>
      <c r="B14" s="12">
        <v>114480</v>
      </c>
      <c r="C14" s="13">
        <v>0.6419283656083625</v>
      </c>
      <c r="D14" s="12">
        <v>73487.95929484534</v>
      </c>
      <c r="E14" s="12">
        <v>68822.75260286077</v>
      </c>
      <c r="F14" s="12">
        <v>272436.2490516623</v>
      </c>
      <c r="G14" s="12">
        <f>F13</f>
        <v>0</v>
      </c>
      <c r="H14" s="12">
        <f>E14-(B$8*G14)</f>
        <v>0</v>
      </c>
      <c r="I14" s="12">
        <f>H14/(1+B$8)^A14</f>
        <v>0</v>
      </c>
    </row>
    <row r="15" spans="1:9">
      <c r="A15" s="12">
        <v>3</v>
      </c>
      <c r="B15" s="12">
        <v>120204</v>
      </c>
      <c r="C15" s="13">
        <v>0.6368212341856757</v>
      </c>
      <c r="D15" s="12">
        <v>76548.45963405496</v>
      </c>
      <c r="E15" s="12">
        <v>71688.96442460026</v>
      </c>
      <c r="F15" s="12">
        <v>286058.0615042454</v>
      </c>
      <c r="G15" s="12">
        <f>F14</f>
        <v>0</v>
      </c>
      <c r="H15" s="12">
        <f>E15-(B$8*G15)</f>
        <v>0</v>
      </c>
      <c r="I15" s="12">
        <f>H15/(1+B$8)^A15</f>
        <v>0</v>
      </c>
    </row>
    <row r="16" spans="1:9">
      <c r="A16" s="12">
        <v>4</v>
      </c>
      <c r="B16" s="12">
        <v>125012.16</v>
      </c>
      <c r="C16" s="13">
        <v>0.6317141027629889</v>
      </c>
      <c r="D16" s="12">
        <v>78971.94448886321</v>
      </c>
      <c r="E16" s="12">
        <v>73958.60016084457</v>
      </c>
      <c r="F16" s="12">
        <v>297500.3839644153</v>
      </c>
      <c r="G16" s="12">
        <f>F15</f>
        <v>0</v>
      </c>
      <c r="H16" s="12">
        <f>E16-(B$8*G16)</f>
        <v>0</v>
      </c>
      <c r="I16" s="12">
        <f>H16/(1+B$8)^A16</f>
        <v>0</v>
      </c>
    </row>
    <row r="17" spans="1:9">
      <c r="A17" s="12">
        <v>5</v>
      </c>
      <c r="B17" s="12">
        <v>129387.5856</v>
      </c>
      <c r="C17" s="13">
        <v>0.6266069713403022</v>
      </c>
      <c r="D17" s="12">
        <v>81075.16314185009</v>
      </c>
      <c r="E17" s="12">
        <v>75928.30102630853</v>
      </c>
      <c r="F17" s="12">
        <v>307912.8974031698</v>
      </c>
      <c r="G17" s="12">
        <f>F16</f>
        <v>0</v>
      </c>
      <c r="H17" s="12">
        <f>E17-(B$8*G17)</f>
        <v>0</v>
      </c>
      <c r="I17" s="12">
        <f>H17/(1+B$8)^A17</f>
        <v>0</v>
      </c>
    </row>
    <row r="18" spans="1:9">
      <c r="A18" s="12">
        <v>6</v>
      </c>
      <c r="B18" s="12">
        <v>133916.151096</v>
      </c>
      <c r="C18" s="13">
        <v>0.6214998399176154</v>
      </c>
      <c r="D18" s="12">
        <v>83228.86646854719</v>
      </c>
      <c r="E18" s="12">
        <v>77945.28166715795</v>
      </c>
      <c r="F18" s="12">
        <v>318689.8488122807</v>
      </c>
      <c r="G18" s="12">
        <f>F17</f>
        <v>0</v>
      </c>
      <c r="H18" s="12">
        <f>E18-(B$8*G18)</f>
        <v>0</v>
      </c>
      <c r="I18" s="12">
        <f>H18/(1+B$8)^A18</f>
        <v>0</v>
      </c>
    </row>
    <row r="19" spans="1:9">
      <c r="A19" s="12">
        <v>7</v>
      </c>
      <c r="B19" s="12">
        <v>138603.21638436</v>
      </c>
      <c r="C19" s="13">
        <v>0.6163927084949286</v>
      </c>
      <c r="D19" s="12">
        <v>85434.01195326431</v>
      </c>
      <c r="E19" s="12">
        <v>80010.43878410959</v>
      </c>
      <c r="F19" s="12">
        <v>329843.9935207105</v>
      </c>
      <c r="G19" s="12">
        <f>F18</f>
        <v>0</v>
      </c>
      <c r="H19" s="12">
        <f>E19-(B$8*G19)</f>
        <v>0</v>
      </c>
      <c r="I19" s="12">
        <f>H19/(1+B$8)^A19</f>
        <v>0</v>
      </c>
    </row>
    <row r="20" spans="1:9">
      <c r="A20" s="12">
        <v>8</v>
      </c>
      <c r="B20" s="12">
        <v>143454.3289578126</v>
      </c>
      <c r="C20" s="13">
        <v>0.6112855770722417</v>
      </c>
      <c r="D20" s="12">
        <v>87691.56226048766</v>
      </c>
      <c r="E20" s="12">
        <v>82124.67392920556</v>
      </c>
      <c r="F20" s="12">
        <v>341388.5332939354</v>
      </c>
      <c r="G20" s="12">
        <f>F19</f>
        <v>0</v>
      </c>
      <c r="H20" s="12">
        <f>E20-(B$8*G20)</f>
        <v>0</v>
      </c>
      <c r="I20" s="12">
        <f>H20/(1+B$8)^A20</f>
        <v>0</v>
      </c>
    </row>
    <row r="21" spans="1:9">
      <c r="A21" s="12">
        <v>9</v>
      </c>
      <c r="B21" s="12">
        <v>147040.6871817579</v>
      </c>
      <c r="C21" s="13">
        <v>0.6061784456495549</v>
      </c>
      <c r="D21" s="12">
        <v>89132.89520308042</v>
      </c>
      <c r="E21" s="12">
        <v>83474.50730977915</v>
      </c>
      <c r="F21" s="12">
        <v>349923.2466262837</v>
      </c>
      <c r="G21" s="12">
        <f>F20</f>
        <v>0</v>
      </c>
      <c r="H21" s="12">
        <f>E21-(B$8*G21)</f>
        <v>0</v>
      </c>
      <c r="I21" s="12">
        <f>H21/(1+B$8)^A21</f>
        <v>0</v>
      </c>
    </row>
    <row r="22" spans="1:9">
      <c r="A22" s="12">
        <v>10</v>
      </c>
      <c r="B22" s="12">
        <v>150716.7043613018</v>
      </c>
      <c r="C22" s="13">
        <v>0.6010713142268681</v>
      </c>
      <c r="D22" s="12">
        <v>90591.48756639003</v>
      </c>
      <c r="E22" s="12">
        <v>84840.50443817567</v>
      </c>
      <c r="F22" s="12">
        <v>358671.3277919408</v>
      </c>
      <c r="G22" s="12">
        <f>F21</f>
        <v>0</v>
      </c>
      <c r="H22" s="12">
        <f>E22-(B$8*G22)</f>
        <v>0</v>
      </c>
      <c r="I22" s="12">
        <f>H22/(1+B$8)^A22</f>
        <v>0</v>
      </c>
    </row>
    <row r="23" spans="1:9">
      <c r="A23" s="12">
        <v>11</v>
      </c>
      <c r="B23" s="12">
        <v>154484.6219703344</v>
      </c>
      <c r="C23" s="13">
        <v>0.5959641828041813</v>
      </c>
      <c r="D23" s="12">
        <v>92067.30148836318</v>
      </c>
      <c r="E23" s="12">
        <v>86222.6298559234</v>
      </c>
      <c r="F23" s="12">
        <v>367638.1109867393</v>
      </c>
      <c r="G23" s="12">
        <f>F22</f>
        <v>0</v>
      </c>
      <c r="H23" s="12">
        <f>E23-(B$8*G23)</f>
        <v>0</v>
      </c>
      <c r="I23" s="12">
        <f>H23/(1+B$8)^A23</f>
        <v>0</v>
      </c>
    </row>
    <row r="24" spans="1:9">
      <c r="A24" s="12">
        <v>12</v>
      </c>
      <c r="B24" s="12">
        <v>158346.7375195927</v>
      </c>
      <c r="C24" s="13">
        <v>0.5908570513814945</v>
      </c>
      <c r="D24" s="12">
        <v>93560.28642670599</v>
      </c>
      <c r="E24" s="12">
        <v>87620.83622928464</v>
      </c>
      <c r="F24" s="12">
        <v>376829.0637614077</v>
      </c>
      <c r="G24" s="12">
        <f>F23</f>
        <v>0</v>
      </c>
      <c r="H24" s="12">
        <f>E24-(B$8*G24)</f>
        <v>0</v>
      </c>
      <c r="I24" s="12">
        <f>H24/(1+B$8)^A24</f>
        <v>0</v>
      </c>
    </row>
    <row r="25" spans="1:9">
      <c r="A25" s="12">
        <v>13</v>
      </c>
      <c r="B25" s="12">
        <v>161196.9787949453</v>
      </c>
      <c r="C25" s="13">
        <v>0.5857499199588077</v>
      </c>
      <c r="D25" s="12">
        <v>94421.11742674085</v>
      </c>
      <c r="E25" s="12">
        <v>88427.01943966027</v>
      </c>
      <c r="F25" s="12">
        <v>383611.9869091131</v>
      </c>
      <c r="G25" s="12">
        <f>F24</f>
        <v>0</v>
      </c>
      <c r="H25" s="12">
        <f>E25-(B$8*G25)</f>
        <v>0</v>
      </c>
      <c r="I25" s="12">
        <f>H25/(1+B$8)^A25</f>
        <v>0</v>
      </c>
    </row>
    <row r="26" spans="1:9">
      <c r="A26" s="12">
        <v>14</v>
      </c>
      <c r="B26" s="12">
        <v>164098.5244132544</v>
      </c>
      <c r="C26" s="13">
        <v>0.5806427885361208</v>
      </c>
      <c r="D26" s="12">
        <v>95282.62480997472</v>
      </c>
      <c r="E26" s="12">
        <v>89233.83609467115</v>
      </c>
      <c r="F26" s="12">
        <v>390517.0026734771</v>
      </c>
      <c r="G26" s="12">
        <f>F25</f>
        <v>0</v>
      </c>
      <c r="H26" s="12">
        <f>E26-(B$8*G26)</f>
        <v>0</v>
      </c>
      <c r="I26" s="12">
        <f>H26/(1+B$8)^A26</f>
        <v>0</v>
      </c>
    </row>
    <row r="27" spans="1:9">
      <c r="A27" s="12">
        <v>15</v>
      </c>
      <c r="B27" s="12">
        <v>167052.297852693</v>
      </c>
      <c r="C27" s="13">
        <v>0.575535657113434</v>
      </c>
      <c r="D27" s="12">
        <v>96144.55401695873</v>
      </c>
      <c r="E27" s="12">
        <v>90041.04779496396</v>
      </c>
      <c r="F27" s="12">
        <v>397546.3087215997</v>
      </c>
      <c r="G27" s="12">
        <f>F26</f>
        <v>0</v>
      </c>
      <c r="H27" s="12">
        <f>E27-(B$8*G27)</f>
        <v>0</v>
      </c>
      <c r="I27" s="12">
        <f>H27/(1+B$8)^A27</f>
        <v>0</v>
      </c>
    </row>
    <row r="28" spans="1:9">
      <c r="A28" s="12">
        <v>16</v>
      </c>
      <c r="B28" s="12">
        <v>170059.2392140414</v>
      </c>
      <c r="C28" s="13">
        <v>0.5704285256907473</v>
      </c>
      <c r="D28" s="12">
        <v>97006.64110495576</v>
      </c>
      <c r="E28" s="12">
        <v>90848.40735357266</v>
      </c>
      <c r="F28" s="12">
        <v>404702.1422785884</v>
      </c>
      <c r="G28" s="12">
        <f>F27</f>
        <v>0</v>
      </c>
      <c r="H28" s="12">
        <f>E28-(B$8*G28)</f>
        <v>0</v>
      </c>
      <c r="I28" s="12">
        <f>H28/(1+B$8)^A28</f>
        <v>0</v>
      </c>
    </row>
    <row r="29" spans="1:9">
      <c r="A29" s="12">
        <v>17</v>
      </c>
      <c r="B29" s="12">
        <v>172099.9500846099</v>
      </c>
      <c r="C29" s="13">
        <v>0.5653213942680605</v>
      </c>
      <c r="D29" s="12">
        <v>97291.78373529529</v>
      </c>
      <c r="E29" s="12">
        <v>91115.44838849445</v>
      </c>
      <c r="F29" s="12">
        <v>409558.5679859316</v>
      </c>
      <c r="G29" s="12">
        <f>F28</f>
        <v>0</v>
      </c>
      <c r="H29" s="12">
        <f>E29-(B$8*G29)</f>
        <v>0</v>
      </c>
      <c r="I29" s="12">
        <f>H29/(1+B$8)^A29</f>
        <v>0</v>
      </c>
    </row>
    <row r="30" spans="1:9">
      <c r="A30" s="12">
        <v>18</v>
      </c>
      <c r="B30" s="12">
        <v>174165.1494856252</v>
      </c>
      <c r="C30" s="13">
        <v>0.5602142628453737</v>
      </c>
      <c r="D30" s="12">
        <v>97569.80083244386</v>
      </c>
      <c r="E30" s="12">
        <v>91375.81623759546</v>
      </c>
      <c r="F30" s="12">
        <v>414473.2708017627</v>
      </c>
      <c r="G30" s="12">
        <f>F29</f>
        <v>0</v>
      </c>
      <c r="H30" s="12">
        <f>E30-(B$8*G30)</f>
        <v>0</v>
      </c>
      <c r="I30" s="12">
        <f>H30/(1+B$8)^A30</f>
        <v>0</v>
      </c>
    </row>
    <row r="31" spans="1:9">
      <c r="A31" s="12">
        <v>19</v>
      </c>
      <c r="B31" s="12">
        <v>176255.1312794527</v>
      </c>
      <c r="C31" s="13">
        <v>0.5551071314226869</v>
      </c>
      <c r="D31" s="12">
        <v>97840.48032306609</v>
      </c>
      <c r="E31" s="12">
        <v>91629.31229050693</v>
      </c>
      <c r="F31" s="12">
        <v>419446.9500513839</v>
      </c>
      <c r="G31" s="12">
        <f>F30</f>
        <v>0</v>
      </c>
      <c r="H31" s="12">
        <f>E31-(B$8*G31)</f>
        <v>0</v>
      </c>
      <c r="I31" s="12">
        <f>H31/(1+B$8)^A31</f>
        <v>0</v>
      </c>
    </row>
    <row r="32" spans="1:9">
      <c r="A32" s="12">
        <v>20</v>
      </c>
      <c r="B32" s="12">
        <v>178370.1928548062</v>
      </c>
      <c r="C32" s="13">
        <v>0.55</v>
      </c>
      <c r="D32" s="12">
        <v>98103.6060701434</v>
      </c>
      <c r="E32" s="12">
        <v>91875.73413115009</v>
      </c>
      <c r="F32" s="12">
        <v>424480.3134520005</v>
      </c>
      <c r="G32" s="12">
        <f>F31</f>
        <v>0</v>
      </c>
      <c r="H32" s="12">
        <f>E32-(B$8*G32)</f>
        <v>0</v>
      </c>
      <c r="I32" s="12">
        <f>H32/(1+B$8)^A32</f>
        <v>0</v>
      </c>
    </row>
    <row r="34" spans="1:9">
      <c r="A34" s="11" t="s">
        <v>124</v>
      </c>
      <c r="B34" s="10">
        <f>SUM(I13:I32)</f>
        <v>0</v>
      </c>
    </row>
    <row r="35" spans="1:9">
      <c r="A35" s="11" t="s">
        <v>125</v>
      </c>
      <c r="B35" s="12">
        <f>H32*(1+B7)/(B8-B7)</f>
        <v>0</v>
      </c>
    </row>
    <row r="36" spans="1:9">
      <c r="A36" s="11" t="s">
        <v>126</v>
      </c>
      <c r="B36" s="12">
        <f>B35/(1+B8)^A32</f>
        <v>0</v>
      </c>
    </row>
    <row r="37" spans="1:9">
      <c r="A37" s="8" t="s">
        <v>127</v>
      </c>
      <c r="B37" s="10">
        <f>B10+B34+B36</f>
        <v>0</v>
      </c>
    </row>
    <row r="38" spans="1:9">
      <c r="A38" s="8" t="s">
        <v>128</v>
      </c>
      <c r="B38" s="17">
        <f>B37/B9</f>
        <v>0</v>
      </c>
    </row>
    <row r="39" spans="1:9">
      <c r="A39" s="11" t="s">
        <v>129</v>
      </c>
      <c r="B39" s="15">
        <f>SUM(B13:B16)/Comparability!B5-1</f>
        <v>0</v>
      </c>
    </row>
    <row r="42" spans="1:9">
      <c r="A42" s="6" t="s">
        <v>60</v>
      </c>
    </row>
    <row r="43" spans="1:9">
      <c r="A43" s="11" t="s">
        <v>105</v>
      </c>
      <c r="B43" s="13">
        <v>0.125</v>
      </c>
      <c r="D43" s="11" t="s">
        <v>111</v>
      </c>
      <c r="E43" s="13">
        <v>0.1570754145987169</v>
      </c>
    </row>
    <row r="44" spans="1:9">
      <c r="A44" s="11" t="s">
        <v>106</v>
      </c>
      <c r="B44" s="13">
        <v>0.03</v>
      </c>
      <c r="D44" s="11" t="s">
        <v>112</v>
      </c>
      <c r="E44" s="13">
        <v>0.22</v>
      </c>
    </row>
    <row r="45" spans="1:9">
      <c r="A45" s="11" t="s">
        <v>107</v>
      </c>
      <c r="B45" s="13">
        <f>(1+B44)^(1/4)-1</f>
        <v>0</v>
      </c>
      <c r="D45" s="11" t="s">
        <v>113</v>
      </c>
      <c r="E45" s="14">
        <v>0.79</v>
      </c>
    </row>
    <row r="46" spans="1:9">
      <c r="A46" s="11" t="s">
        <v>108</v>
      </c>
      <c r="B46" s="13">
        <f>B43/4</f>
        <v>0</v>
      </c>
      <c r="D46" s="11" t="s">
        <v>114</v>
      </c>
      <c r="E46" s="14">
        <v>0.5463155900738776</v>
      </c>
    </row>
    <row r="47" spans="1:9">
      <c r="A47" s="11" t="s">
        <v>109</v>
      </c>
      <c r="B47" s="12">
        <v>1659</v>
      </c>
      <c r="D47" s="11" t="s">
        <v>115</v>
      </c>
      <c r="E47" s="13">
        <v>0.7958893729873082</v>
      </c>
    </row>
    <row r="48" spans="1:9">
      <c r="A48" s="8" t="s">
        <v>110</v>
      </c>
      <c r="B48" s="10">
        <v>67224</v>
      </c>
      <c r="D48" s="2" t="s">
        <v>130</v>
      </c>
      <c r="E48" s="2"/>
      <c r="F48" s="2"/>
      <c r="G48" s="2"/>
      <c r="H48" s="2"/>
      <c r="I48" s="2"/>
    </row>
    <row r="50" spans="1:9">
      <c r="A50" s="3" t="s">
        <v>117</v>
      </c>
      <c r="B50" s="3" t="s">
        <v>30</v>
      </c>
      <c r="C50" s="3" t="s">
        <v>118</v>
      </c>
      <c r="D50" s="3" t="s">
        <v>31</v>
      </c>
      <c r="E50" s="3" t="s">
        <v>119</v>
      </c>
      <c r="F50" s="3" t="s">
        <v>120</v>
      </c>
      <c r="G50" s="3" t="s">
        <v>121</v>
      </c>
      <c r="H50" s="3" t="s">
        <v>122</v>
      </c>
      <c r="I50" s="3" t="s">
        <v>123</v>
      </c>
    </row>
    <row r="51" spans="1:9">
      <c r="A51" s="12">
        <v>1</v>
      </c>
      <c r="B51" s="12">
        <v>12228.16</v>
      </c>
      <c r="C51" s="13">
        <v>0.160221643868781</v>
      </c>
      <c r="D51" s="12">
        <v>1959.215896690473</v>
      </c>
      <c r="E51" s="12">
        <v>1547.780558385474</v>
      </c>
      <c r="F51" s="12">
        <v>71257.44</v>
      </c>
      <c r="G51" s="12">
        <f>B48</f>
        <v>0</v>
      </c>
      <c r="H51" s="12">
        <f>E51-(B$46*G51)</f>
        <v>0</v>
      </c>
      <c r="I51" s="12">
        <f>H51/(1+B$46)^A51</f>
        <v>0</v>
      </c>
    </row>
    <row r="52" spans="1:9">
      <c r="A52" s="12">
        <v>2</v>
      </c>
      <c r="B52" s="12">
        <v>12839.568</v>
      </c>
      <c r="C52" s="13">
        <v>0.1633678731388452</v>
      </c>
      <c r="D52" s="12">
        <v>2097.572916181576</v>
      </c>
      <c r="E52" s="12">
        <v>1657.082603783445</v>
      </c>
      <c r="F52" s="12">
        <v>74820.31200000001</v>
      </c>
      <c r="G52" s="12">
        <f>F51</f>
        <v>0</v>
      </c>
      <c r="H52" s="12">
        <f>E52-(B$46*G52)</f>
        <v>0</v>
      </c>
      <c r="I52" s="12">
        <f>H52/(1+B$46)^A52</f>
        <v>0</v>
      </c>
    </row>
    <row r="53" spans="1:9">
      <c r="A53" s="12">
        <v>3</v>
      </c>
      <c r="B53" s="12">
        <v>13417.34856</v>
      </c>
      <c r="C53" s="13">
        <v>0.1665141024089093</v>
      </c>
      <c r="D53" s="12">
        <v>2234.177752175872</v>
      </c>
      <c r="E53" s="12">
        <v>1765.000424218939</v>
      </c>
      <c r="F53" s="12">
        <v>78187.22604000001</v>
      </c>
      <c r="G53" s="12">
        <f>F52</f>
        <v>0</v>
      </c>
      <c r="H53" s="12">
        <f>E53-(B$46*G53)</f>
        <v>0</v>
      </c>
      <c r="I53" s="12">
        <f>H53/(1+B$46)^A53</f>
        <v>0</v>
      </c>
    </row>
    <row r="54" spans="1:9">
      <c r="A54" s="12">
        <v>4</v>
      </c>
      <c r="B54" s="12">
        <v>13954.0425024</v>
      </c>
      <c r="C54" s="13">
        <v>0.1696603316789735</v>
      </c>
      <c r="D54" s="12">
        <v>2367.447479219677</v>
      </c>
      <c r="E54" s="12">
        <v>1870.283508583545</v>
      </c>
      <c r="F54" s="12">
        <v>81314.71508160001</v>
      </c>
      <c r="G54" s="12">
        <f>F53</f>
        <v>0</v>
      </c>
      <c r="H54" s="12">
        <f>E54-(B$46*G54)</f>
        <v>0</v>
      </c>
      <c r="I54" s="12">
        <f>H54/(1+B$46)^A54</f>
        <v>0</v>
      </c>
    </row>
    <row r="55" spans="1:9">
      <c r="A55" s="12">
        <v>5</v>
      </c>
      <c r="B55" s="12">
        <v>14442.433989984</v>
      </c>
      <c r="C55" s="13">
        <v>0.1728065609490376</v>
      </c>
      <c r="D55" s="12">
        <v>2495.747349542622</v>
      </c>
      <c r="E55" s="12">
        <v>1971.640406138672</v>
      </c>
      <c r="F55" s="12">
        <v>84160.730109456</v>
      </c>
      <c r="G55" s="12">
        <f>F54</f>
        <v>0</v>
      </c>
      <c r="H55" s="12">
        <f>E55-(B$46*G55)</f>
        <v>0</v>
      </c>
      <c r="I55" s="12">
        <f>H55/(1+B$46)^A55</f>
        <v>0</v>
      </c>
    </row>
    <row r="56" spans="1:9">
      <c r="A56" s="12">
        <v>6</v>
      </c>
      <c r="B56" s="12">
        <v>14947.91917963344</v>
      </c>
      <c r="C56" s="13">
        <v>0.1759527902191018</v>
      </c>
      <c r="D56" s="12">
        <v>2630.12808762613</v>
      </c>
      <c r="E56" s="12">
        <v>2077.801189224643</v>
      </c>
      <c r="F56" s="12">
        <v>87106.35566328696</v>
      </c>
      <c r="G56" s="12">
        <f>F55</f>
        <v>0</v>
      </c>
      <c r="H56" s="12">
        <f>E56-(B$46*G56)</f>
        <v>0</v>
      </c>
      <c r="I56" s="12">
        <f>H56/(1+B$46)^A56</f>
        <v>0</v>
      </c>
    </row>
    <row r="57" spans="1:9">
      <c r="A57" s="12">
        <v>7</v>
      </c>
      <c r="B57" s="12">
        <v>15471.09635092061</v>
      </c>
      <c r="C57" s="13">
        <v>0.179099019489166</v>
      </c>
      <c r="D57" s="12">
        <v>2770.858186872294</v>
      </c>
      <c r="E57" s="12">
        <v>2188.977967629112</v>
      </c>
      <c r="F57" s="12">
        <v>90155.07811150198</v>
      </c>
      <c r="G57" s="12">
        <f>F56</f>
        <v>0</v>
      </c>
      <c r="H57" s="12">
        <f>E57-(B$46*G57)</f>
        <v>0</v>
      </c>
      <c r="I57" s="12">
        <f>H57/(1+B$46)^A57</f>
        <v>0</v>
      </c>
    </row>
    <row r="58" spans="1:9">
      <c r="A58" s="12">
        <v>8</v>
      </c>
      <c r="B58" s="12">
        <v>16012.58472320283</v>
      </c>
      <c r="C58" s="13">
        <v>0.1822452487592301</v>
      </c>
      <c r="D58" s="12">
        <v>2918.217486158347</v>
      </c>
      <c r="E58" s="12">
        <v>2305.391814065094</v>
      </c>
      <c r="F58" s="12">
        <v>93310.50584540455</v>
      </c>
      <c r="G58" s="12">
        <f>F57</f>
        <v>0</v>
      </c>
      <c r="H58" s="12">
        <f>E58-(B$46*G58)</f>
        <v>0</v>
      </c>
      <c r="I58" s="12">
        <f>H58/(1+B$46)^A58</f>
        <v>0</v>
      </c>
    </row>
    <row r="59" spans="1:9">
      <c r="A59" s="12">
        <v>9</v>
      </c>
      <c r="B59" s="12">
        <v>16460.93709545251</v>
      </c>
      <c r="C59" s="13">
        <v>0.1853914780292943</v>
      </c>
      <c r="D59" s="12">
        <v>3051.717457873178</v>
      </c>
      <c r="E59" s="12">
        <v>2410.856791719811</v>
      </c>
      <c r="F59" s="12">
        <v>95923.20000907588</v>
      </c>
      <c r="G59" s="12">
        <f>F58</f>
        <v>0</v>
      </c>
      <c r="H59" s="12">
        <f>E59-(B$46*G59)</f>
        <v>0</v>
      </c>
      <c r="I59" s="12">
        <f>H59/(1+B$46)^A59</f>
        <v>0</v>
      </c>
    </row>
    <row r="60" spans="1:9">
      <c r="A60" s="12">
        <v>10</v>
      </c>
      <c r="B60" s="12">
        <v>16921.84333412518</v>
      </c>
      <c r="C60" s="13">
        <v>0.1885377072993584</v>
      </c>
      <c r="D60" s="12">
        <v>3190.405545494892</v>
      </c>
      <c r="E60" s="12">
        <v>2520.420380940965</v>
      </c>
      <c r="F60" s="12">
        <v>98609.04960933</v>
      </c>
      <c r="G60" s="12">
        <f>F59</f>
        <v>0</v>
      </c>
      <c r="H60" s="12">
        <f>E60-(B$46*G60)</f>
        <v>0</v>
      </c>
      <c r="I60" s="12">
        <f>H60/(1+B$46)^A60</f>
        <v>0</v>
      </c>
    </row>
    <row r="61" spans="1:9">
      <c r="A61" s="12">
        <v>11</v>
      </c>
      <c r="B61" s="12">
        <v>17395.65494748068</v>
      </c>
      <c r="C61" s="13">
        <v>0.1916839365694226</v>
      </c>
      <c r="D61" s="12">
        <v>3334.467619536449</v>
      </c>
      <c r="E61" s="12">
        <v>2634.229419433795</v>
      </c>
      <c r="F61" s="12">
        <v>101370.1029983912</v>
      </c>
      <c r="G61" s="12">
        <f>F60</f>
        <v>0</v>
      </c>
      <c r="H61" s="12">
        <f>E61-(B$46*G61)</f>
        <v>0</v>
      </c>
      <c r="I61" s="12">
        <f>H61/(1+B$46)^A61</f>
        <v>0</v>
      </c>
    </row>
    <row r="62" spans="1:9">
      <c r="A62" s="12">
        <v>12</v>
      </c>
      <c r="B62" s="12">
        <v>17882.73328601014</v>
      </c>
      <c r="C62" s="13">
        <v>0.1948301658394868</v>
      </c>
      <c r="D62" s="12">
        <v>3484.095891776666</v>
      </c>
      <c r="E62" s="12">
        <v>2752.435754503566</v>
      </c>
      <c r="F62" s="12">
        <v>104208.4658823462</v>
      </c>
      <c r="G62" s="12">
        <f>F61</f>
        <v>0</v>
      </c>
      <c r="H62" s="12">
        <f>E62-(B$46*G62)</f>
        <v>0</v>
      </c>
      <c r="I62" s="12">
        <f>H62/(1+B$46)^A62</f>
        <v>0</v>
      </c>
    </row>
    <row r="63" spans="1:9">
      <c r="A63" s="12">
        <v>13</v>
      </c>
      <c r="B63" s="12">
        <v>18240.38795173034</v>
      </c>
      <c r="C63" s="13">
        <v>0.1979763951095509</v>
      </c>
      <c r="D63" s="12">
        <v>3611.166252083258</v>
      </c>
      <c r="E63" s="12">
        <v>2852.821339145774</v>
      </c>
      <c r="F63" s="12">
        <v>106292.6351999931</v>
      </c>
      <c r="G63" s="12">
        <f>F62</f>
        <v>0</v>
      </c>
      <c r="H63" s="12">
        <f>E63-(B$46*G63)</f>
        <v>0</v>
      </c>
      <c r="I63" s="12">
        <f>H63/(1+B$46)^A63</f>
        <v>0</v>
      </c>
    </row>
    <row r="64" spans="1:9">
      <c r="A64" s="12">
        <v>14</v>
      </c>
      <c r="B64" s="12">
        <v>18605.19571076495</v>
      </c>
      <c r="C64" s="13">
        <v>0.2011226243796151</v>
      </c>
      <c r="D64" s="12">
        <v>3741.925788445405</v>
      </c>
      <c r="E64" s="12">
        <v>2956.12137287187</v>
      </c>
      <c r="F64" s="12">
        <v>108418.487903993</v>
      </c>
      <c r="G64" s="12">
        <f>F63</f>
        <v>0</v>
      </c>
      <c r="H64" s="12">
        <f>E64-(B$46*G64)</f>
        <v>0</v>
      </c>
      <c r="I64" s="12">
        <f>H64/(1+B$46)^A64</f>
        <v>0</v>
      </c>
    </row>
    <row r="65" spans="1:9">
      <c r="A65" s="12">
        <v>15</v>
      </c>
      <c r="B65" s="12">
        <v>18977.29962498025</v>
      </c>
      <c r="C65" s="13">
        <v>0.2042688536496792</v>
      </c>
      <c r="D65" s="12">
        <v>3876.471239761203</v>
      </c>
      <c r="E65" s="12">
        <v>3062.41227941135</v>
      </c>
      <c r="F65" s="12">
        <v>110586.8576620728</v>
      </c>
      <c r="G65" s="12">
        <f>F64</f>
        <v>0</v>
      </c>
      <c r="H65" s="12">
        <f>E65-(B$46*G65)</f>
        <v>0</v>
      </c>
      <c r="I65" s="12">
        <f>H65/(1+B$46)^A65</f>
        <v>0</v>
      </c>
    </row>
    <row r="66" spans="1:9">
      <c r="A66" s="12">
        <v>16</v>
      </c>
      <c r="B66" s="12">
        <v>19356.84561747986</v>
      </c>
      <c r="C66" s="13">
        <v>0.2074150829197434</v>
      </c>
      <c r="D66" s="12">
        <v>4014.901738814255</v>
      </c>
      <c r="E66" s="12">
        <v>3171.772373663262</v>
      </c>
      <c r="F66" s="12">
        <v>112798.5948153143</v>
      </c>
      <c r="G66" s="12">
        <f>F65</f>
        <v>0</v>
      </c>
      <c r="H66" s="12">
        <f>E66-(B$46*G66)</f>
        <v>0</v>
      </c>
      <c r="I66" s="12">
        <f>H66/(1+B$46)^A66</f>
        <v>0</v>
      </c>
    </row>
    <row r="67" spans="1:9">
      <c r="A67" s="12">
        <v>17</v>
      </c>
      <c r="B67" s="12">
        <v>19647.19830174205</v>
      </c>
      <c r="C67" s="13">
        <v>0.2105613121898075</v>
      </c>
      <c r="D67" s="12">
        <v>4136.939855268165</v>
      </c>
      <c r="E67" s="12">
        <v>3268.18248566185</v>
      </c>
      <c r="F67" s="12">
        <v>114490.573737544</v>
      </c>
      <c r="G67" s="12">
        <f>F66</f>
        <v>0</v>
      </c>
      <c r="H67" s="12">
        <f>E67-(B$46*G67)</f>
        <v>0</v>
      </c>
      <c r="I67" s="12">
        <f>H67/(1+B$46)^A67</f>
        <v>0</v>
      </c>
    </row>
    <row r="68" spans="1:9">
      <c r="A68" s="12">
        <v>18</v>
      </c>
      <c r="B68" s="12">
        <v>19941.90627626818</v>
      </c>
      <c r="C68" s="13">
        <v>0.2137075414598717</v>
      </c>
      <c r="D68" s="12">
        <v>4261.735762324458</v>
      </c>
      <c r="E68" s="12">
        <v>3366.771252236322</v>
      </c>
      <c r="F68" s="12">
        <v>116207.9323436072</v>
      </c>
      <c r="G68" s="12">
        <f>F67</f>
        <v>0</v>
      </c>
      <c r="H68" s="12">
        <f>E68-(B$46*G68)</f>
        <v>0</v>
      </c>
      <c r="I68" s="12">
        <f>H68/(1+B$46)^A68</f>
        <v>0</v>
      </c>
    </row>
    <row r="69" spans="1:9">
      <c r="A69" s="12">
        <v>19</v>
      </c>
      <c r="B69" s="12">
        <v>20241.0348704122</v>
      </c>
      <c r="C69" s="13">
        <v>0.2168537707299358</v>
      </c>
      <c r="D69" s="12">
        <v>4389.344735125004</v>
      </c>
      <c r="E69" s="12">
        <v>3467.582340748754</v>
      </c>
      <c r="F69" s="12">
        <v>117951.0513287613</v>
      </c>
      <c r="G69" s="12">
        <f>F68</f>
        <v>0</v>
      </c>
      <c r="H69" s="12">
        <f>E69-(B$46*G69)</f>
        <v>0</v>
      </c>
      <c r="I69" s="12">
        <f>H69/(1+B$46)^A69</f>
        <v>0</v>
      </c>
    </row>
    <row r="70" spans="1:9">
      <c r="A70" s="12">
        <v>20</v>
      </c>
      <c r="B70" s="12">
        <v>20544.65039346839</v>
      </c>
      <c r="C70" s="13">
        <v>0.22</v>
      </c>
      <c r="D70" s="12">
        <v>4519.823086563045</v>
      </c>
      <c r="E70" s="12">
        <v>3570.660238384806</v>
      </c>
      <c r="F70" s="12">
        <v>119720.3170986927</v>
      </c>
      <c r="G70" s="12">
        <f>F69</f>
        <v>0</v>
      </c>
      <c r="H70" s="12">
        <f>E70-(B$46*G70)</f>
        <v>0</v>
      </c>
      <c r="I70" s="12">
        <f>H70/(1+B$46)^A70</f>
        <v>0</v>
      </c>
    </row>
    <row r="72" spans="1:9">
      <c r="A72" s="11" t="s">
        <v>124</v>
      </c>
      <c r="B72" s="10">
        <f>SUM(I51:I70)</f>
        <v>0</v>
      </c>
    </row>
    <row r="73" spans="1:9">
      <c r="A73" s="11" t="s">
        <v>125</v>
      </c>
      <c r="B73" s="12">
        <f>H70*(1+B45)/(B46-B45)</f>
        <v>0</v>
      </c>
    </row>
    <row r="74" spans="1:9">
      <c r="A74" s="11" t="s">
        <v>126</v>
      </c>
      <c r="B74" s="12">
        <f>B73/(1+B46)^A70</f>
        <v>0</v>
      </c>
    </row>
    <row r="75" spans="1:9">
      <c r="A75" s="8" t="s">
        <v>127</v>
      </c>
      <c r="B75" s="10">
        <f>B48+B72+B74</f>
        <v>0</v>
      </c>
    </row>
    <row r="76" spans="1:9">
      <c r="A76" s="8" t="s">
        <v>128</v>
      </c>
      <c r="B76" s="17">
        <f>B75/B47</f>
        <v>0</v>
      </c>
    </row>
    <row r="77" spans="1:9">
      <c r="A77" s="11" t="s">
        <v>129</v>
      </c>
      <c r="B77" s="15">
        <f>SUM(B51:B54)/Comparability!C5-1</f>
        <v>0</v>
      </c>
    </row>
    <row r="80" spans="1:9">
      <c r="A80" s="7" t="s">
        <v>61</v>
      </c>
    </row>
    <row r="81" spans="1:9">
      <c r="A81" s="11" t="s">
        <v>105</v>
      </c>
      <c r="B81" s="13">
        <v>0.097</v>
      </c>
      <c r="D81" s="11" t="s">
        <v>111</v>
      </c>
      <c r="E81" s="13">
        <v>-0.001350119231308739</v>
      </c>
    </row>
    <row r="82" spans="1:9">
      <c r="A82" s="11" t="s">
        <v>106</v>
      </c>
      <c r="B82" s="13">
        <v>0.03</v>
      </c>
      <c r="D82" s="11" t="s">
        <v>112</v>
      </c>
      <c r="E82" s="13">
        <v>0.1</v>
      </c>
    </row>
    <row r="83" spans="1:9">
      <c r="A83" s="11" t="s">
        <v>107</v>
      </c>
      <c r="B83" s="13">
        <f>(1+B82)^(1/4)-1</f>
        <v>0</v>
      </c>
      <c r="D83" s="11" t="s">
        <v>113</v>
      </c>
      <c r="E83" s="14">
        <v>0.79</v>
      </c>
    </row>
    <row r="84" spans="1:9">
      <c r="A84" s="11" t="s">
        <v>108</v>
      </c>
      <c r="B84" s="13">
        <f>B81/4</f>
        <v>0</v>
      </c>
      <c r="D84" s="11" t="s">
        <v>114</v>
      </c>
      <c r="E84" s="14">
        <v>0.3186737733341896</v>
      </c>
    </row>
    <row r="85" spans="1:9">
      <c r="A85" s="11" t="s">
        <v>109</v>
      </c>
      <c r="B85" s="12">
        <v>5104</v>
      </c>
      <c r="D85" s="11" t="s">
        <v>115</v>
      </c>
      <c r="E85" s="13">
        <v>0.5095016276507985</v>
      </c>
    </row>
    <row r="86" spans="1:9">
      <c r="A86" s="8" t="s">
        <v>110</v>
      </c>
      <c r="B86" s="10">
        <v>103143</v>
      </c>
      <c r="D86" s="2" t="s">
        <v>131</v>
      </c>
      <c r="E86" s="2"/>
      <c r="F86" s="2"/>
      <c r="G86" s="2"/>
      <c r="H86" s="2"/>
      <c r="I86" s="2"/>
    </row>
    <row r="88" spans="1:9">
      <c r="A88" s="3" t="s">
        <v>117</v>
      </c>
      <c r="B88" s="3" t="s">
        <v>30</v>
      </c>
      <c r="C88" s="3" t="s">
        <v>118</v>
      </c>
      <c r="D88" s="3" t="s">
        <v>31</v>
      </c>
      <c r="E88" s="3" t="s">
        <v>119</v>
      </c>
      <c r="F88" s="3" t="s">
        <v>120</v>
      </c>
      <c r="G88" s="3" t="s">
        <v>121</v>
      </c>
      <c r="H88" s="3" t="s">
        <v>122</v>
      </c>
      <c r="I88" s="3" t="s">
        <v>123</v>
      </c>
    </row>
    <row r="89" spans="1:9">
      <c r="A89" s="12">
        <v>1</v>
      </c>
      <c r="B89" s="12">
        <v>16450.56</v>
      </c>
      <c r="C89" s="13">
        <v>0.003717386730256698</v>
      </c>
      <c r="D89" s="12">
        <v>61.15309344929162</v>
      </c>
      <c r="E89" s="12">
        <v>48.31094382494039</v>
      </c>
      <c r="F89" s="12">
        <v>105205.86</v>
      </c>
      <c r="G89" s="12">
        <f>B86</f>
        <v>0</v>
      </c>
      <c r="H89" s="12">
        <f>E89-(B$84*G89)</f>
        <v>0</v>
      </c>
      <c r="I89" s="12">
        <f>H89/(1+B$84)^A89</f>
        <v>0</v>
      </c>
    </row>
    <row r="90" spans="1:9">
      <c r="A90" s="12">
        <v>2</v>
      </c>
      <c r="B90" s="12">
        <v>16779.5712</v>
      </c>
      <c r="C90" s="13">
        <v>0.008784892691822133</v>
      </c>
      <c r="D90" s="12">
        <v>147.4067324067892</v>
      </c>
      <c r="E90" s="12">
        <v>116.4513186013634</v>
      </c>
      <c r="F90" s="12">
        <v>107309.9772</v>
      </c>
      <c r="G90" s="12">
        <f>F89</f>
        <v>0</v>
      </c>
      <c r="H90" s="12">
        <f>E90-(B$84*G90)</f>
        <v>0</v>
      </c>
      <c r="I90" s="12">
        <f>H90/(1+B$84)^A90</f>
        <v>0</v>
      </c>
    </row>
    <row r="91" spans="1:9">
      <c r="A91" s="12">
        <v>3</v>
      </c>
      <c r="B91" s="12">
        <v>17115.162624</v>
      </c>
      <c r="C91" s="13">
        <v>0.01385239865338757</v>
      </c>
      <c r="D91" s="12">
        <v>237.086055685207</v>
      </c>
      <c r="E91" s="12">
        <v>187.2979839913135</v>
      </c>
      <c r="F91" s="12">
        <v>109456.176744</v>
      </c>
      <c r="G91" s="12">
        <f>F90</f>
        <v>0</v>
      </c>
      <c r="H91" s="12">
        <f>E91-(B$84*G91)</f>
        <v>0</v>
      </c>
      <c r="I91" s="12">
        <f>H91/(1+B$84)^A91</f>
        <v>0</v>
      </c>
    </row>
    <row r="92" spans="1:9">
      <c r="A92" s="12">
        <v>4</v>
      </c>
      <c r="B92" s="12">
        <v>17457.46587648</v>
      </c>
      <c r="C92" s="13">
        <v>0.01891990461495301</v>
      </c>
      <c r="D92" s="12">
        <v>330.2935892017987</v>
      </c>
      <c r="E92" s="12">
        <v>260.931935469421</v>
      </c>
      <c r="F92" s="12">
        <v>111645.30027888</v>
      </c>
      <c r="G92" s="12">
        <f>F91</f>
        <v>0</v>
      </c>
      <c r="H92" s="12">
        <f>E92-(B$84*G92)</f>
        <v>0</v>
      </c>
      <c r="I92" s="12">
        <f>H92/(1+B$84)^A92</f>
        <v>0</v>
      </c>
    </row>
    <row r="93" spans="1:9">
      <c r="A93" s="12">
        <v>5</v>
      </c>
      <c r="B93" s="12">
        <v>17719.3278646272</v>
      </c>
      <c r="C93" s="13">
        <v>0.02398741057651844</v>
      </c>
      <c r="D93" s="12">
        <v>425.0407926287565</v>
      </c>
      <c r="E93" s="12">
        <v>335.7822261767176</v>
      </c>
      <c r="F93" s="12">
        <v>113319.9797830632</v>
      </c>
      <c r="G93" s="12">
        <f>F92</f>
        <v>0</v>
      </c>
      <c r="H93" s="12">
        <f>E93-(B$84*G93)</f>
        <v>0</v>
      </c>
      <c r="I93" s="12">
        <f>H93/(1+B$84)^A93</f>
        <v>0</v>
      </c>
    </row>
    <row r="94" spans="1:9">
      <c r="A94" s="12">
        <v>6</v>
      </c>
      <c r="B94" s="12">
        <v>17985.11778259661</v>
      </c>
      <c r="C94" s="13">
        <v>0.02905491653808388</v>
      </c>
      <c r="D94" s="12">
        <v>522.5560961009527</v>
      </c>
      <c r="E94" s="12">
        <v>412.8193159197526</v>
      </c>
      <c r="F94" s="12">
        <v>115019.7794798091</v>
      </c>
      <c r="G94" s="12">
        <f>F93</f>
        <v>0</v>
      </c>
      <c r="H94" s="12">
        <f>E94-(B$84*G94)</f>
        <v>0</v>
      </c>
      <c r="I94" s="12">
        <f>H94/(1+B$84)^A94</f>
        <v>0</v>
      </c>
    </row>
    <row r="95" spans="1:9">
      <c r="A95" s="12">
        <v>7</v>
      </c>
      <c r="B95" s="12">
        <v>18254.89454933556</v>
      </c>
      <c r="C95" s="13">
        <v>0.03412242249964931</v>
      </c>
      <c r="D95" s="12">
        <v>622.9012244989732</v>
      </c>
      <c r="E95" s="12">
        <v>492.0919673541889</v>
      </c>
      <c r="F95" s="12">
        <v>116745.0761720063</v>
      </c>
      <c r="G95" s="12">
        <f>F94</f>
        <v>0</v>
      </c>
      <c r="H95" s="12">
        <f>E95-(B$84*G95)</f>
        <v>0</v>
      </c>
      <c r="I95" s="12">
        <f>H95/(1+B$84)^A95</f>
        <v>0</v>
      </c>
    </row>
    <row r="96" spans="1:9">
      <c r="A96" s="12">
        <v>8</v>
      </c>
      <c r="B96" s="12">
        <v>18528.71796757559</v>
      </c>
      <c r="C96" s="13">
        <v>0.03918992846121475</v>
      </c>
      <c r="D96" s="12">
        <v>726.1391316273117</v>
      </c>
      <c r="E96" s="12">
        <v>573.6499139855763</v>
      </c>
      <c r="F96" s="12">
        <v>118496.2523145864</v>
      </c>
      <c r="G96" s="12">
        <f>F95</f>
        <v>0</v>
      </c>
      <c r="H96" s="12">
        <f>E96-(B$84*G96)</f>
        <v>0</v>
      </c>
      <c r="I96" s="12">
        <f>H96/(1+B$84)^A96</f>
        <v>0</v>
      </c>
    </row>
    <row r="97" spans="1:9">
      <c r="A97" s="12">
        <v>9</v>
      </c>
      <c r="B97" s="12">
        <v>18751.06258318649</v>
      </c>
      <c r="C97" s="13">
        <v>0.04425743442278019</v>
      </c>
      <c r="D97" s="12">
        <v>829.8739226328236</v>
      </c>
      <c r="E97" s="12">
        <v>655.6003988799306</v>
      </c>
      <c r="F97" s="12">
        <v>119918.2073423614</v>
      </c>
      <c r="G97" s="12">
        <f>F96</f>
        <v>0</v>
      </c>
      <c r="H97" s="12">
        <f>E97-(B$84*G97)</f>
        <v>0</v>
      </c>
      <c r="I97" s="12">
        <f>H97/(1+B$84)^A97</f>
        <v>0</v>
      </c>
    </row>
    <row r="98" spans="1:9">
      <c r="A98" s="12">
        <v>10</v>
      </c>
      <c r="B98" s="12">
        <v>18976.07533418473</v>
      </c>
      <c r="C98" s="13">
        <v>0.04932494038434563</v>
      </c>
      <c r="D98" s="12">
        <v>935.9937845875133</v>
      </c>
      <c r="E98" s="12">
        <v>739.4350898241356</v>
      </c>
      <c r="F98" s="12">
        <v>121357.2258304697</v>
      </c>
      <c r="G98" s="12">
        <f>F97</f>
        <v>0</v>
      </c>
      <c r="H98" s="12">
        <f>E98-(B$84*G98)</f>
        <v>0</v>
      </c>
      <c r="I98" s="12">
        <f>H98/(1+B$84)^A98</f>
        <v>0</v>
      </c>
    </row>
    <row r="99" spans="1:9">
      <c r="A99" s="12">
        <v>11</v>
      </c>
      <c r="B99" s="12">
        <v>19203.78823819495</v>
      </c>
      <c r="C99" s="13">
        <v>0.05439244634591107</v>
      </c>
      <c r="D99" s="12">
        <v>1044.541021384257</v>
      </c>
      <c r="E99" s="12">
        <v>825.1874068935626</v>
      </c>
      <c r="F99" s="12">
        <v>122813.5125404354</v>
      </c>
      <c r="G99" s="12">
        <f>F98</f>
        <v>0</v>
      </c>
      <c r="H99" s="12">
        <f>E99-(B$84*G99)</f>
        <v>0</v>
      </c>
      <c r="I99" s="12">
        <f>H99/(1+B$84)^A99</f>
        <v>0</v>
      </c>
    </row>
    <row r="100" spans="1:9">
      <c r="A100" s="12">
        <v>12</v>
      </c>
      <c r="B100" s="12">
        <v>19434.23369705329</v>
      </c>
      <c r="C100" s="13">
        <v>0.0594599523074765</v>
      </c>
      <c r="D100" s="12">
        <v>1155.558608759141</v>
      </c>
      <c r="E100" s="12">
        <v>912.8913009197214</v>
      </c>
      <c r="F100" s="12">
        <v>124287.2746909206</v>
      </c>
      <c r="G100" s="12">
        <f>F99</f>
        <v>0</v>
      </c>
      <c r="H100" s="12">
        <f>E100-(B$84*G100)</f>
        <v>0</v>
      </c>
      <c r="I100" s="12">
        <f>H100/(1+B$84)^A100</f>
        <v>0</v>
      </c>
    </row>
    <row r="101" spans="1:9">
      <c r="A101" s="12">
        <v>13</v>
      </c>
      <c r="B101" s="12">
        <v>19628.57603402382</v>
      </c>
      <c r="C101" s="13">
        <v>0.06452745826904195</v>
      </c>
      <c r="D101" s="12">
        <v>1266.582120916189</v>
      </c>
      <c r="E101" s="12">
        <v>1000.599875523789</v>
      </c>
      <c r="F101" s="12">
        <v>125530.1474378298</v>
      </c>
      <c r="G101" s="12">
        <f>F100</f>
        <v>0</v>
      </c>
      <c r="H101" s="12">
        <f>E101-(B$84*G101)</f>
        <v>0</v>
      </c>
      <c r="I101" s="12">
        <f>H101/(1+B$84)^A101</f>
        <v>0</v>
      </c>
    </row>
    <row r="102" spans="1:9">
      <c r="A102" s="12">
        <v>14</v>
      </c>
      <c r="B102" s="12">
        <v>19824.86179436406</v>
      </c>
      <c r="C102" s="13">
        <v>0.06959496423060738</v>
      </c>
      <c r="D102" s="12">
        <v>1379.710547455501</v>
      </c>
      <c r="E102" s="12">
        <v>1089.971332489846</v>
      </c>
      <c r="F102" s="12">
        <v>126785.4489122081</v>
      </c>
      <c r="G102" s="12">
        <f>F101</f>
        <v>0</v>
      </c>
      <c r="H102" s="12">
        <f>E102-(B$84*G102)</f>
        <v>0</v>
      </c>
      <c r="I102" s="12">
        <f>H102/(1+B$84)^A102</f>
        <v>0</v>
      </c>
    </row>
    <row r="103" spans="1:9">
      <c r="A103" s="12">
        <v>15</v>
      </c>
      <c r="B103" s="12">
        <v>20023.1104123077</v>
      </c>
      <c r="C103" s="13">
        <v>0.07466247019217283</v>
      </c>
      <c r="D103" s="12">
        <v>1494.974884313509</v>
      </c>
      <c r="E103" s="12">
        <v>1181.030158607672</v>
      </c>
      <c r="F103" s="12">
        <v>128053.3034013302</v>
      </c>
      <c r="G103" s="12">
        <f>F102</f>
        <v>0</v>
      </c>
      <c r="H103" s="12">
        <f>E103-(B$84*G103)</f>
        <v>0</v>
      </c>
      <c r="I103" s="12">
        <f>H103/(1+B$84)^A103</f>
        <v>0</v>
      </c>
    </row>
    <row r="104" spans="1:9">
      <c r="A104" s="12">
        <v>16</v>
      </c>
      <c r="B104" s="12">
        <v>20223.34151643078</v>
      </c>
      <c r="C104" s="13">
        <v>0.07972997615373825</v>
      </c>
      <c r="D104" s="12">
        <v>1612.406536853931</v>
      </c>
      <c r="E104" s="12">
        <v>1273.801164114605</v>
      </c>
      <c r="F104" s="12">
        <v>129333.8364353435</v>
      </c>
      <c r="G104" s="12">
        <f>F103</f>
        <v>0</v>
      </c>
      <c r="H104" s="12">
        <f>E104-(B$84*G104)</f>
        <v>0</v>
      </c>
      <c r="I104" s="12">
        <f>H104/(1+B$84)^A104</f>
        <v>0</v>
      </c>
    </row>
    <row r="105" spans="1:9">
      <c r="A105" s="12">
        <v>17</v>
      </c>
      <c r="B105" s="12">
        <v>20385.12824856223</v>
      </c>
      <c r="C105" s="13">
        <v>0.08479748211530369</v>
      </c>
      <c r="D105" s="12">
        <v>1728.607548075627</v>
      </c>
      <c r="E105" s="12">
        <v>1365.599962979746</v>
      </c>
      <c r="F105" s="12">
        <v>130368.5071268262</v>
      </c>
      <c r="G105" s="12">
        <f>F104</f>
        <v>0</v>
      </c>
      <c r="H105" s="12">
        <f>E105-(B$84*G105)</f>
        <v>0</v>
      </c>
      <c r="I105" s="12">
        <f>H105/(1+B$84)^A105</f>
        <v>0</v>
      </c>
    </row>
    <row r="106" spans="1:9">
      <c r="A106" s="12">
        <v>18</v>
      </c>
      <c r="B106" s="12">
        <v>20548.20927455072</v>
      </c>
      <c r="C106" s="13">
        <v>0.08986498807686913</v>
      </c>
      <c r="D106" s="12">
        <v>1846.564581458512</v>
      </c>
      <c r="E106" s="12">
        <v>1458.786019352225</v>
      </c>
      <c r="F106" s="12">
        <v>131411.4551838409</v>
      </c>
      <c r="G106" s="12">
        <f>F105</f>
        <v>0</v>
      </c>
      <c r="H106" s="12">
        <f>E106-(B$84*G106)</f>
        <v>0</v>
      </c>
      <c r="I106" s="12">
        <f>H106/(1+B$84)^A106</f>
        <v>0</v>
      </c>
    </row>
    <row r="107" spans="1:9">
      <c r="A107" s="12">
        <v>19</v>
      </c>
      <c r="B107" s="12">
        <v>20712.59494874713</v>
      </c>
      <c r="C107" s="13">
        <v>0.09493249403843457</v>
      </c>
      <c r="D107" s="12">
        <v>1966.298296492447</v>
      </c>
      <c r="E107" s="12">
        <v>1553.375654229033</v>
      </c>
      <c r="F107" s="12">
        <v>132462.7468253116</v>
      </c>
      <c r="G107" s="12">
        <f>F106</f>
        <v>0</v>
      </c>
      <c r="H107" s="12">
        <f>E107-(B$84*G107)</f>
        <v>0</v>
      </c>
      <c r="I107" s="12">
        <f>H107/(1+B$84)^A107</f>
        <v>0</v>
      </c>
    </row>
    <row r="108" spans="1:9">
      <c r="A108" s="12">
        <v>20</v>
      </c>
      <c r="B108" s="12">
        <v>20878.2957083371</v>
      </c>
      <c r="C108" s="13">
        <v>0.1</v>
      </c>
      <c r="D108" s="12">
        <v>2087.82957083371</v>
      </c>
      <c r="E108" s="12">
        <v>1649.385360958631</v>
      </c>
      <c r="F108" s="12">
        <v>133522.4487999141</v>
      </c>
      <c r="G108" s="12">
        <f>F107</f>
        <v>0</v>
      </c>
      <c r="H108" s="12">
        <f>E108-(B$84*G108)</f>
        <v>0</v>
      </c>
      <c r="I108" s="12">
        <f>H108/(1+B$84)^A108</f>
        <v>0</v>
      </c>
    </row>
    <row r="110" spans="1:9">
      <c r="A110" s="11" t="s">
        <v>124</v>
      </c>
      <c r="B110" s="10">
        <f>SUM(I89:I108)</f>
        <v>0</v>
      </c>
    </row>
    <row r="111" spans="1:9">
      <c r="A111" s="11" t="s">
        <v>125</v>
      </c>
      <c r="B111" s="12">
        <f>H108*(1+B83)/(B84-B83)</f>
        <v>0</v>
      </c>
    </row>
    <row r="112" spans="1:9">
      <c r="A112" s="11" t="s">
        <v>126</v>
      </c>
      <c r="B112" s="12">
        <f>B111/(1+B84)^A108</f>
        <v>0</v>
      </c>
    </row>
    <row r="113" spans="1:2">
      <c r="A113" s="8" t="s">
        <v>127</v>
      </c>
      <c r="B113" s="10">
        <f>B86+B110+B112</f>
        <v>0</v>
      </c>
    </row>
    <row r="114" spans="1:2">
      <c r="A114" s="8" t="s">
        <v>128</v>
      </c>
      <c r="B114" s="17">
        <f>B113/B85</f>
        <v>0</v>
      </c>
    </row>
    <row r="115" spans="1:2">
      <c r="A115" s="11" t="s">
        <v>129</v>
      </c>
      <c r="B115" s="15">
        <f>SUM(B89:B92)/Comparability!D5-1</f>
        <v>0</v>
      </c>
    </row>
    <row r="118" spans="1:2">
      <c r="A118" s="7" t="s">
        <v>132</v>
      </c>
    </row>
    <row r="119" spans="1:2" ht="32" customHeight="1">
      <c r="A119" s="2" t="s">
        <v>133</v>
      </c>
    </row>
    <row r="120" spans="1:2">
      <c r="A120" s="8" t="s">
        <v>134</v>
      </c>
      <c r="B120" s="17">
        <v>7.698550785127088</v>
      </c>
    </row>
    <row r="121" spans="1:2">
      <c r="A121" s="11" t="s">
        <v>135</v>
      </c>
      <c r="B121" s="12">
        <v>39293.40320728865</v>
      </c>
    </row>
  </sheetData>
  <mergeCells count="3">
    <mergeCell ref="D10:I10"/>
    <mergeCell ref="D48:I48"/>
    <mergeCell ref="D86:I8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Sources</vt:lpstr>
      <vt:lpstr>DuPont</vt:lpstr>
      <vt:lpstr>Comparability</vt:lpstr>
      <vt:lpstr>Forecast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2026-10-06T15:53:57Z</dcterms:created>
  <dcterms:modified xsi:type="dcterms:W3CDTF">2026-10-06T15:53:57Z</dcterms:modified>
</cp:coreProperties>
</file>