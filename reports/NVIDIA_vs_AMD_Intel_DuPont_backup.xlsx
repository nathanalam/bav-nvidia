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ources" sheetId="1" r:id="rId1"/>
    <sheet name="DuPont" sheetId="2" r:id="rId2"/>
  </sheets>
  <calcPr calcId="124519" fullCalcOnLoad="1"/>
</workbook>
</file>

<file path=xl/sharedStrings.xml><?xml version="1.0" encoding="utf-8"?>
<sst xmlns="http://schemas.openxmlformats.org/spreadsheetml/2006/main" count="82" uniqueCount="69">
  <si>
    <t>Source figures, USD millions</t>
  </si>
  <si>
    <t>Tied to the 10-K statement lines named in the PDF sources. Base years are shaded. Net debt and the ratios are formulas.</t>
  </si>
  <si>
    <t>Line</t>
  </si>
  <si>
    <t>NVIDIA FY21</t>
  </si>
  <si>
    <t>NVIDIA FY22</t>
  </si>
  <si>
    <t>NVIDIA FY23</t>
  </si>
  <si>
    <t>NVIDIA FY24</t>
  </si>
  <si>
    <t>NVIDIA FY25</t>
  </si>
  <si>
    <t>NVIDIA FY26</t>
  </si>
  <si>
    <t>AMD FY20</t>
  </si>
  <si>
    <t>AMD FY21</t>
  </si>
  <si>
    <t>AMD FY22</t>
  </si>
  <si>
    <t>AMD FY23</t>
  </si>
  <si>
    <t>AMD FY24</t>
  </si>
  <si>
    <t>AMD FY25</t>
  </si>
  <si>
    <t>Intel FY20</t>
  </si>
  <si>
    <t>Intel FY21</t>
  </si>
  <si>
    <t>Intel FY22</t>
  </si>
  <si>
    <t>Intel FY23</t>
  </si>
  <si>
    <t>Intel FY24</t>
  </si>
  <si>
    <t>Intel FY25</t>
  </si>
  <si>
    <t>Revenue</t>
  </si>
  <si>
    <t>Operating income</t>
  </si>
  <si>
    <t>Net income to the company</t>
  </si>
  <si>
    <t>Interest expense</t>
  </si>
  <si>
    <t>Interest income</t>
  </si>
  <si>
    <t>Total assets</t>
  </si>
  <si>
    <t>Equity, including NCI where presented</t>
  </si>
  <si>
    <t>Cash</t>
  </si>
  <si>
    <t>Marketable securities or short-term investments</t>
  </si>
  <si>
    <t>Debt, including current portion</t>
  </si>
  <si>
    <t>Long-term operating lease liability</t>
  </si>
  <si>
    <t>Operating cash flow</t>
  </si>
  <si>
    <t>Capital expenditures, cash spent</t>
  </si>
  <si>
    <t>Net debt = debt + lease - cash - liquid investments</t>
  </si>
  <si>
    <t>After-tax net interest = (interest expense - interest income) x 0.79</t>
  </si>
  <si>
    <t>NOPAT = net income + after-tax net interest</t>
  </si>
  <si>
    <t>Intel FY2020 and FY2021 operating cash flow is the revised comparative in the later cash-flow statement (originally $35,384 and $29,991). Intel FY2020 trading assets of $15,738 are not in liquid investments. AMD FY2025 capex of $1,012 and operating cash flow of $7,709 include discontinued operations ($38 and $1,216). Intel capex is the investing-section additions, not the further additions classified in financing ($3,026 in 2025 and $1,178 in 2024). Current operating lease liabilities are inside accrued liabilities and are not in net debt.</t>
  </si>
  <si>
    <t>NVIDIA vs AMD vs Intel: advanced DuPont</t>
  </si>
  <si>
    <t>Every ratio is a formula. YES tests the unrounded identity. Shaded columns are the base year and are not ratio years. n.m. is not used; average net debt is never near zero in this panel.</t>
  </si>
  <si>
    <t>RATIOS</t>
  </si>
  <si>
    <t>NVIDIA</t>
  </si>
  <si>
    <t>FY21</t>
  </si>
  <si>
    <t>FY22</t>
  </si>
  <si>
    <t>FY23</t>
  </si>
  <si>
    <t>FY24</t>
  </si>
  <si>
    <t>FY25</t>
  </si>
  <si>
    <t>FY26</t>
  </si>
  <si>
    <t>AMD</t>
  </si>
  <si>
    <t>FY20</t>
  </si>
  <si>
    <t>Intel</t>
  </si>
  <si>
    <t>Traditional DuPont</t>
  </si>
  <si>
    <t>Net margin</t>
  </si>
  <si>
    <t>x Asset turnover (sales / avg total assets)</t>
  </si>
  <si>
    <t>x Leverage (avg assets / avg equity)</t>
  </si>
  <si>
    <t>ROE (NI / avg equity)</t>
  </si>
  <si>
    <t>Check: ROE = margin x turnover x leverage</t>
  </si>
  <si>
    <t>Modified DuPont</t>
  </si>
  <si>
    <t>NOPAT margin</t>
  </si>
  <si>
    <t>x Operating asset turnover (sales / avg NOA)</t>
  </si>
  <si>
    <t>Operating ROA</t>
  </si>
  <si>
    <t>Check: operating ROA = NOPAT margin x NOA turn</t>
  </si>
  <si>
    <t>− Net interest cost (after-tax interest / avg net debt)</t>
  </si>
  <si>
    <t>Spread</t>
  </si>
  <si>
    <t>x Net financial leverage (avg net debt / avg equity)</t>
  </si>
  <si>
    <t>Gain or loss on financial leverage</t>
  </si>
  <si>
    <t>Check: ROE = operating ROA + gain</t>
  </si>
  <si>
    <t>Operating ROA if NOPAT = operating income x 0.79</t>
  </si>
  <si>
    <t>NOPAT uses the statutory 21% federal rate on net interest only. Other income, gains, and the effective tax on operations stay inside net income, and therefore inside NOPAT. The last row taxes operating income at 21% and divides by the same average net operating assets, so the gap is the non-operating items and the tax-rate difference. Equity is the balance-sheet total. Intel's total includes non-controlling interests. Net income is consolidated net income, which for Intel is not the attributable-to-Intel line. Negative net financial leverage means net cash.</t>
  </si>
</sst>
</file>

<file path=xl/styles.xml><?xml version="1.0" encoding="utf-8"?>
<styleSheet xmlns="http://schemas.openxmlformats.org/spreadsheetml/2006/main">
  <numFmts count="3">
    <numFmt numFmtId="164" formatCode="#,##0;(#,##0)"/>
    <numFmt numFmtId="165" formatCode="0.00%"/>
    <numFmt numFmtId="166" formatCode="0.00"/>
  </numFmts>
  <fonts count="6">
    <font>
      <sz val="11"/>
      <color theme="1"/>
      <name val="Calibri"/>
      <family val="2"/>
      <scheme val="minor"/>
    </font>
    <font>
      <b/>
      <sz val="16"/>
      <color rgb="FF1B2A4A"/>
      <name val="Calibri"/>
      <family val="2"/>
      <scheme val="minor"/>
    </font>
    <font>
      <i/>
      <sz val="11"/>
      <color rgb="FF5C6773"/>
      <name val="Calibri"/>
      <family val="2"/>
      <scheme val="minor"/>
    </font>
    <font>
      <b/>
      <sz val="11"/>
      <color rgb="FFFFFFFF"/>
      <name val="Calibri"/>
      <family val="2"/>
      <scheme val="minor"/>
    </font>
    <font>
      <b/>
      <sz val="11"/>
      <color theme="1"/>
      <name val="Calibri"/>
      <family val="2"/>
      <scheme val="minor"/>
    </font>
    <font>
      <b/>
      <sz val="11"/>
      <color rgb="FF8C2F39"/>
      <name val="Calibri"/>
      <family val="2"/>
      <scheme val="minor"/>
    </font>
  </fonts>
  <fills count="7">
    <fill>
      <patternFill patternType="none"/>
    </fill>
    <fill>
      <patternFill patternType="gray125"/>
    </fill>
    <fill>
      <patternFill patternType="solid">
        <fgColor rgb="FFEEF1F4"/>
        <bgColor indexed="64"/>
      </patternFill>
    </fill>
    <fill>
      <patternFill patternType="solid">
        <fgColor rgb="FF1B2A4A"/>
        <bgColor indexed="64"/>
      </patternFill>
    </fill>
    <fill>
      <patternFill patternType="solid">
        <fgColor rgb="FF0F6B5C"/>
        <bgColor indexed="64"/>
      </patternFill>
    </fill>
    <fill>
      <patternFill patternType="solid">
        <fgColor rgb="FFD4652F"/>
        <bgColor indexed="64"/>
      </patternFill>
    </fill>
    <fill>
      <patternFill patternType="solid">
        <fgColor rgb="FF1F4E79"/>
        <bgColor indexed="64"/>
      </patternFill>
    </fill>
  </fills>
  <borders count="1">
    <border>
      <left/>
      <right/>
      <top/>
      <bottom/>
      <diagonal/>
    </border>
  </borders>
  <cellStyleXfs count="1">
    <xf numFmtId="0" fontId="0" fillId="0" borderId="0"/>
  </cellStyleXfs>
  <cellXfs count="16">
    <xf numFmtId="0" fontId="0" fillId="0" borderId="0" xfId="0"/>
    <xf numFmtId="164" fontId="0" fillId="2" borderId="0" xfId="0" applyNumberFormat="1" applyFill="1"/>
    <xf numFmtId="164" fontId="0" fillId="0" borderId="0" xfId="0" applyNumberFormat="1"/>
    <xf numFmtId="0" fontId="1" fillId="0" borderId="0" xfId="0" applyFont="1"/>
    <xf numFmtId="0" fontId="2" fillId="0" borderId="0" xfId="0" applyFont="1" applyAlignment="1">
      <alignment wrapText="1"/>
    </xf>
    <xf numFmtId="0" fontId="3" fillId="3" borderId="0" xfId="0" applyFont="1" applyFill="1" applyAlignment="1">
      <alignment horizontal="center" vertical="center" wrapText="1"/>
    </xf>
    <xf numFmtId="0" fontId="3" fillId="4" borderId="0" xfId="0" applyFont="1" applyFill="1" applyAlignment="1">
      <alignment horizontal="center"/>
    </xf>
    <xf numFmtId="0" fontId="3" fillId="5" borderId="0" xfId="0" applyFont="1" applyFill="1" applyAlignment="1">
      <alignment horizontal="center"/>
    </xf>
    <xf numFmtId="0" fontId="3" fillId="6" borderId="0" xfId="0" applyFont="1" applyFill="1" applyAlignment="1">
      <alignment horizontal="center"/>
    </xf>
    <xf numFmtId="0" fontId="4" fillId="0" borderId="0" xfId="0" applyFont="1"/>
    <xf numFmtId="164" fontId="4" fillId="0" borderId="0" xfId="0" applyNumberFormat="1" applyFont="1"/>
    <xf numFmtId="0" fontId="0" fillId="0" borderId="0" xfId="0" applyAlignment="1">
      <alignment horizontal="left"/>
    </xf>
    <xf numFmtId="165" fontId="0" fillId="0" borderId="0" xfId="0" applyNumberFormat="1"/>
    <xf numFmtId="166" fontId="0" fillId="0" borderId="0" xfId="0" applyNumberFormat="1"/>
    <xf numFmtId="165" fontId="4" fillId="0" borderId="0" xfId="0" applyNumberFormat="1" applyFont="1"/>
    <xf numFmtId="0" fontId="5"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22"/>
  <sheetViews>
    <sheetView tabSelected="1" workbookViewId="0"/>
  </sheetViews>
  <sheetFormatPr defaultRowHeight="15"/>
  <cols>
    <col min="1" max="1" width="52.7109375" customWidth="1"/>
    <col min="2" max="2" width="16.7109375" style="1" customWidth="1"/>
    <col min="3" max="7" width="16.7109375" style="2" customWidth="1"/>
    <col min="8" max="8" width="16.7109375" style="1" customWidth="1"/>
    <col min="9" max="13" width="16.7109375" style="2" customWidth="1"/>
    <col min="14" max="14" width="16.7109375" style="1" customWidth="1"/>
    <col min="15" max="19" width="16.7109375" style="2" customWidth="1"/>
  </cols>
  <sheetData>
    <row r="1" spans="1:19">
      <c r="A1" s="3" t="s">
        <v>0</v>
      </c>
    </row>
    <row r="2" spans="1:19" ht="32" customHeight="1">
      <c r="A2" s="4" t="s">
        <v>1</v>
      </c>
    </row>
    <row r="4" spans="1:19">
      <c r="A4" s="5" t="s">
        <v>2</v>
      </c>
      <c r="B4" s="5" t="s">
        <v>3</v>
      </c>
      <c r="C4" s="6" t="s">
        <v>4</v>
      </c>
      <c r="D4" s="6" t="s">
        <v>5</v>
      </c>
      <c r="E4" s="6" t="s">
        <v>6</v>
      </c>
      <c r="F4" s="6" t="s">
        <v>7</v>
      </c>
      <c r="G4" s="6" t="s">
        <v>8</v>
      </c>
      <c r="H4" s="5" t="s">
        <v>9</v>
      </c>
      <c r="I4" s="7" t="s">
        <v>10</v>
      </c>
      <c r="J4" s="7" t="s">
        <v>11</v>
      </c>
      <c r="K4" s="7" t="s">
        <v>12</v>
      </c>
      <c r="L4" s="7" t="s">
        <v>13</v>
      </c>
      <c r="M4" s="7" t="s">
        <v>14</v>
      </c>
      <c r="N4" s="5" t="s">
        <v>15</v>
      </c>
      <c r="O4" s="8" t="s">
        <v>16</v>
      </c>
      <c r="P4" s="8" t="s">
        <v>17</v>
      </c>
      <c r="Q4" s="8" t="s">
        <v>18</v>
      </c>
      <c r="R4" s="8" t="s">
        <v>19</v>
      </c>
      <c r="S4" s="8" t="s">
        <v>20</v>
      </c>
    </row>
    <row r="5" spans="1:19">
      <c r="A5" s="9" t="s">
        <v>21</v>
      </c>
      <c r="B5" s="1">
        <v>16675</v>
      </c>
      <c r="C5" s="10">
        <v>26914</v>
      </c>
      <c r="D5" s="10">
        <v>26974</v>
      </c>
      <c r="E5" s="10">
        <v>60922</v>
      </c>
      <c r="F5" s="10">
        <v>130497</v>
      </c>
      <c r="G5" s="10">
        <v>215938</v>
      </c>
      <c r="H5" s="1">
        <v>9763</v>
      </c>
      <c r="I5" s="10">
        <v>16434</v>
      </c>
      <c r="J5" s="10">
        <v>23601</v>
      </c>
      <c r="K5" s="10">
        <v>22680</v>
      </c>
      <c r="L5" s="10">
        <v>25785</v>
      </c>
      <c r="M5" s="10">
        <v>34639</v>
      </c>
      <c r="N5" s="1">
        <v>77867</v>
      </c>
      <c r="O5" s="10">
        <v>79024</v>
      </c>
      <c r="P5" s="10">
        <v>63054</v>
      </c>
      <c r="Q5" s="10">
        <v>54228</v>
      </c>
      <c r="R5" s="10">
        <v>53101</v>
      </c>
      <c r="S5" s="10">
        <v>52853</v>
      </c>
    </row>
    <row r="6" spans="1:19">
      <c r="A6" s="11" t="s">
        <v>22</v>
      </c>
      <c r="B6" s="1">
        <v>4532</v>
      </c>
      <c r="C6" s="2">
        <v>10041</v>
      </c>
      <c r="D6" s="2">
        <v>4224</v>
      </c>
      <c r="E6" s="2">
        <v>32972</v>
      </c>
      <c r="F6" s="2">
        <v>81453</v>
      </c>
      <c r="G6" s="2">
        <v>130387</v>
      </c>
      <c r="H6" s="1">
        <v>1369</v>
      </c>
      <c r="I6" s="2">
        <v>3648</v>
      </c>
      <c r="J6" s="2">
        <v>1264</v>
      </c>
      <c r="K6" s="2">
        <v>401</v>
      </c>
      <c r="L6" s="2">
        <v>1900</v>
      </c>
      <c r="M6" s="2">
        <v>3694</v>
      </c>
      <c r="N6" s="1">
        <v>23678</v>
      </c>
      <c r="O6" s="2">
        <v>19456</v>
      </c>
      <c r="P6" s="2">
        <v>2334</v>
      </c>
      <c r="Q6" s="2">
        <v>93</v>
      </c>
      <c r="R6" s="2">
        <v>-11678</v>
      </c>
      <c r="S6" s="2">
        <v>-2214</v>
      </c>
    </row>
    <row r="7" spans="1:19">
      <c r="A7" s="9" t="s">
        <v>23</v>
      </c>
      <c r="B7" s="1">
        <v>4332</v>
      </c>
      <c r="C7" s="10">
        <v>9752</v>
      </c>
      <c r="D7" s="10">
        <v>4368</v>
      </c>
      <c r="E7" s="10">
        <v>29760</v>
      </c>
      <c r="F7" s="10">
        <v>72880</v>
      </c>
      <c r="G7" s="10">
        <v>120067</v>
      </c>
      <c r="H7" s="1">
        <v>2490</v>
      </c>
      <c r="I7" s="10">
        <v>3162</v>
      </c>
      <c r="J7" s="10">
        <v>1320</v>
      </c>
      <c r="K7" s="10">
        <v>854</v>
      </c>
      <c r="L7" s="10">
        <v>1641</v>
      </c>
      <c r="M7" s="10">
        <v>4335</v>
      </c>
      <c r="N7" s="1">
        <v>20899</v>
      </c>
      <c r="O7" s="10">
        <v>19868</v>
      </c>
      <c r="P7" s="10">
        <v>8017</v>
      </c>
      <c r="Q7" s="10">
        <v>1675</v>
      </c>
      <c r="R7" s="10">
        <v>-19233</v>
      </c>
      <c r="S7" s="10">
        <v>26</v>
      </c>
    </row>
    <row r="8" spans="1:19">
      <c r="A8" s="11" t="s">
        <v>24</v>
      </c>
      <c r="B8" s="1">
        <v>184</v>
      </c>
      <c r="C8" s="2">
        <v>236</v>
      </c>
      <c r="D8" s="2">
        <v>262</v>
      </c>
      <c r="E8" s="2">
        <v>257</v>
      </c>
      <c r="F8" s="2">
        <v>247</v>
      </c>
      <c r="G8" s="2">
        <v>259</v>
      </c>
      <c r="H8" s="1">
        <v>47</v>
      </c>
      <c r="I8" s="2">
        <v>34</v>
      </c>
      <c r="J8" s="2">
        <v>88</v>
      </c>
      <c r="K8" s="2">
        <v>106</v>
      </c>
      <c r="L8" s="2">
        <v>92</v>
      </c>
      <c r="M8" s="2">
        <v>131</v>
      </c>
      <c r="N8" s="1">
        <v>629</v>
      </c>
      <c r="O8" s="2">
        <v>597</v>
      </c>
      <c r="P8" s="2">
        <v>496</v>
      </c>
      <c r="Q8" s="2">
        <v>878</v>
      </c>
      <c r="R8" s="2">
        <v>1034</v>
      </c>
      <c r="S8" s="2">
        <v>1091</v>
      </c>
    </row>
    <row r="9" spans="1:19">
      <c r="A9" s="11" t="s">
        <v>25</v>
      </c>
      <c r="B9" s="1">
        <v>57</v>
      </c>
      <c r="C9" s="2">
        <v>29</v>
      </c>
      <c r="D9" s="2">
        <v>267</v>
      </c>
      <c r="E9" s="2">
        <v>866</v>
      </c>
      <c r="F9" s="2">
        <v>1786</v>
      </c>
      <c r="G9" s="2">
        <v>2300</v>
      </c>
      <c r="H9" s="1">
        <v>8</v>
      </c>
      <c r="I9" s="2">
        <v>8</v>
      </c>
      <c r="J9" s="2">
        <v>65</v>
      </c>
      <c r="K9" s="2">
        <v>206</v>
      </c>
      <c r="L9" s="2">
        <v>182</v>
      </c>
      <c r="M9" s="2">
        <v>215</v>
      </c>
      <c r="N9" s="1">
        <v>272</v>
      </c>
      <c r="O9" s="2">
        <v>144</v>
      </c>
      <c r="P9" s="2">
        <v>589</v>
      </c>
      <c r="Q9" s="2">
        <v>1335</v>
      </c>
      <c r="R9" s="2">
        <v>1245</v>
      </c>
      <c r="S9" s="2">
        <v>1007</v>
      </c>
    </row>
    <row r="10" spans="1:19">
      <c r="A10" s="9" t="s">
        <v>26</v>
      </c>
      <c r="B10" s="1">
        <v>28791</v>
      </c>
      <c r="C10" s="2">
        <v>44187</v>
      </c>
      <c r="D10" s="2">
        <v>41182</v>
      </c>
      <c r="E10" s="2">
        <v>65728</v>
      </c>
      <c r="F10" s="2">
        <v>111601</v>
      </c>
      <c r="G10" s="2">
        <v>206803</v>
      </c>
      <c r="H10" s="1">
        <v>8962</v>
      </c>
      <c r="I10" s="2">
        <v>12419</v>
      </c>
      <c r="J10" s="2">
        <v>67580</v>
      </c>
      <c r="K10" s="2">
        <v>67885</v>
      </c>
      <c r="L10" s="2">
        <v>69226</v>
      </c>
      <c r="M10" s="2">
        <v>76926</v>
      </c>
      <c r="N10" s="1">
        <v>153091</v>
      </c>
      <c r="O10" s="2">
        <v>168406</v>
      </c>
      <c r="P10" s="2">
        <v>182103</v>
      </c>
      <c r="Q10" s="2">
        <v>191572</v>
      </c>
      <c r="R10" s="2">
        <v>196485</v>
      </c>
      <c r="S10" s="2">
        <v>211429</v>
      </c>
    </row>
    <row r="11" spans="1:19">
      <c r="A11" s="9" t="s">
        <v>27</v>
      </c>
      <c r="B11" s="1">
        <v>16893</v>
      </c>
      <c r="C11" s="2">
        <v>26612</v>
      </c>
      <c r="D11" s="2">
        <v>22101</v>
      </c>
      <c r="E11" s="2">
        <v>42978</v>
      </c>
      <c r="F11" s="2">
        <v>79327</v>
      </c>
      <c r="G11" s="2">
        <v>157293</v>
      </c>
      <c r="H11" s="1">
        <v>5837</v>
      </c>
      <c r="I11" s="2">
        <v>7497</v>
      </c>
      <c r="J11" s="2">
        <v>54750</v>
      </c>
      <c r="K11" s="2">
        <v>55892</v>
      </c>
      <c r="L11" s="2">
        <v>57568</v>
      </c>
      <c r="M11" s="2">
        <v>62999</v>
      </c>
      <c r="N11" s="1">
        <v>81038</v>
      </c>
      <c r="O11" s="2">
        <v>95391</v>
      </c>
      <c r="P11" s="2">
        <v>103286</v>
      </c>
      <c r="Q11" s="2">
        <v>109965</v>
      </c>
      <c r="R11" s="2">
        <v>105032</v>
      </c>
      <c r="S11" s="2">
        <v>126360</v>
      </c>
    </row>
    <row r="12" spans="1:19">
      <c r="A12" s="11" t="s">
        <v>28</v>
      </c>
      <c r="B12" s="1">
        <v>847</v>
      </c>
      <c r="C12" s="2">
        <v>1990</v>
      </c>
      <c r="D12" s="2">
        <v>3389</v>
      </c>
      <c r="E12" s="2">
        <v>7280</v>
      </c>
      <c r="F12" s="2">
        <v>8589</v>
      </c>
      <c r="G12" s="2">
        <v>10605</v>
      </c>
      <c r="H12" s="1">
        <v>1595</v>
      </c>
      <c r="I12" s="2">
        <v>2535</v>
      </c>
      <c r="J12" s="2">
        <v>4835</v>
      </c>
      <c r="K12" s="2">
        <v>3933</v>
      </c>
      <c r="L12" s="2">
        <v>3787</v>
      </c>
      <c r="M12" s="2">
        <v>5539</v>
      </c>
      <c r="N12" s="1">
        <v>5865</v>
      </c>
      <c r="O12" s="2">
        <v>4827</v>
      </c>
      <c r="P12" s="2">
        <v>11144</v>
      </c>
      <c r="Q12" s="2">
        <v>7079</v>
      </c>
      <c r="R12" s="2">
        <v>8249</v>
      </c>
      <c r="S12" s="2">
        <v>14265</v>
      </c>
    </row>
    <row r="13" spans="1:19">
      <c r="A13" s="11" t="s">
        <v>29</v>
      </c>
      <c r="B13" s="1">
        <v>10714</v>
      </c>
      <c r="C13" s="2">
        <v>19218</v>
      </c>
      <c r="D13" s="2">
        <v>9907</v>
      </c>
      <c r="E13" s="2">
        <v>18704</v>
      </c>
      <c r="F13" s="2">
        <v>34621</v>
      </c>
      <c r="G13" s="2">
        <v>51951</v>
      </c>
      <c r="H13" s="1">
        <v>695</v>
      </c>
      <c r="I13" s="2">
        <v>1073</v>
      </c>
      <c r="J13" s="2">
        <v>1020</v>
      </c>
      <c r="K13" s="2">
        <v>1840</v>
      </c>
      <c r="L13" s="2">
        <v>1345</v>
      </c>
      <c r="M13" s="2">
        <v>5013</v>
      </c>
      <c r="N13" s="1">
        <v>2292</v>
      </c>
      <c r="O13" s="2">
        <v>24426</v>
      </c>
      <c r="P13" s="2">
        <v>17194</v>
      </c>
      <c r="Q13" s="2">
        <v>17955</v>
      </c>
      <c r="R13" s="2">
        <v>13813</v>
      </c>
      <c r="S13" s="2">
        <v>23151</v>
      </c>
    </row>
    <row r="14" spans="1:19">
      <c r="A14" s="11" t="s">
        <v>30</v>
      </c>
      <c r="B14" s="1">
        <v>6963</v>
      </c>
      <c r="C14" s="2">
        <v>10946</v>
      </c>
      <c r="D14" s="2">
        <v>10953</v>
      </c>
      <c r="E14" s="2">
        <v>9709</v>
      </c>
      <c r="F14" s="2">
        <v>8463</v>
      </c>
      <c r="G14" s="2">
        <v>8468</v>
      </c>
      <c r="H14" s="1">
        <v>330</v>
      </c>
      <c r="I14" s="2">
        <v>313</v>
      </c>
      <c r="J14" s="2">
        <v>2467</v>
      </c>
      <c r="K14" s="2">
        <v>2468</v>
      </c>
      <c r="L14" s="2">
        <v>1721</v>
      </c>
      <c r="M14" s="2">
        <v>3222</v>
      </c>
      <c r="N14" s="1">
        <v>36401</v>
      </c>
      <c r="O14" s="2">
        <v>38101</v>
      </c>
      <c r="P14" s="2">
        <v>42051</v>
      </c>
      <c r="Q14" s="2">
        <v>49266</v>
      </c>
      <c r="R14" s="2">
        <v>50011</v>
      </c>
      <c r="S14" s="2">
        <v>46585</v>
      </c>
    </row>
    <row r="15" spans="1:19">
      <c r="A15" s="11" t="s">
        <v>31</v>
      </c>
      <c r="B15" s="1">
        <v>634</v>
      </c>
      <c r="C15" s="2">
        <v>741</v>
      </c>
      <c r="D15" s="2">
        <v>902</v>
      </c>
      <c r="E15" s="2">
        <v>1119</v>
      </c>
      <c r="F15" s="2">
        <v>1519</v>
      </c>
      <c r="G15" s="2">
        <v>2572</v>
      </c>
      <c r="H15" s="1">
        <v>201</v>
      </c>
      <c r="I15" s="2">
        <v>348</v>
      </c>
      <c r="J15" s="2">
        <v>396</v>
      </c>
      <c r="K15" s="2">
        <v>535</v>
      </c>
      <c r="L15" s="2">
        <v>491</v>
      </c>
      <c r="M15" s="2">
        <v>625</v>
      </c>
      <c r="N15" s="1">
        <v>0</v>
      </c>
      <c r="O15" s="2">
        <v>0</v>
      </c>
      <c r="P15" s="2">
        <v>0</v>
      </c>
      <c r="Q15" s="2">
        <v>0</v>
      </c>
      <c r="R15" s="2">
        <v>0</v>
      </c>
      <c r="S15" s="2">
        <v>0</v>
      </c>
    </row>
    <row r="16" spans="1:19">
      <c r="A16" s="11" t="s">
        <v>32</v>
      </c>
      <c r="B16" s="1">
        <v>5822</v>
      </c>
      <c r="C16" s="2">
        <v>9108</v>
      </c>
      <c r="D16" s="2">
        <v>5641</v>
      </c>
      <c r="E16" s="2">
        <v>28090</v>
      </c>
      <c r="F16" s="2">
        <v>64089</v>
      </c>
      <c r="G16" s="2">
        <v>102718</v>
      </c>
      <c r="H16" s="1">
        <v>1071</v>
      </c>
      <c r="I16" s="2">
        <v>3521</v>
      </c>
      <c r="J16" s="2">
        <v>3565</v>
      </c>
      <c r="K16" s="2">
        <v>1667</v>
      </c>
      <c r="L16" s="2">
        <v>3041</v>
      </c>
      <c r="M16" s="2">
        <v>7709</v>
      </c>
      <c r="N16" s="1">
        <v>35864</v>
      </c>
      <c r="O16" s="2">
        <v>29456</v>
      </c>
      <c r="P16" s="2">
        <v>15433</v>
      </c>
      <c r="Q16" s="2">
        <v>11471</v>
      </c>
      <c r="R16" s="2">
        <v>8288</v>
      </c>
      <c r="S16" s="2">
        <v>9697</v>
      </c>
    </row>
    <row r="17" spans="1:19">
      <c r="A17" s="11" t="s">
        <v>33</v>
      </c>
      <c r="B17" s="1">
        <v>1128</v>
      </c>
      <c r="C17" s="2">
        <v>976</v>
      </c>
      <c r="D17" s="2">
        <v>1833</v>
      </c>
      <c r="E17" s="2">
        <v>1069</v>
      </c>
      <c r="F17" s="2">
        <v>3236</v>
      </c>
      <c r="G17" s="2">
        <v>6042</v>
      </c>
      <c r="H17" s="1">
        <v>294</v>
      </c>
      <c r="I17" s="2">
        <v>301</v>
      </c>
      <c r="J17" s="2">
        <v>450</v>
      </c>
      <c r="K17" s="2">
        <v>546</v>
      </c>
      <c r="L17" s="2">
        <v>636</v>
      </c>
      <c r="M17" s="2">
        <v>1012</v>
      </c>
      <c r="N17" s="1">
        <v>14259</v>
      </c>
      <c r="O17" s="2">
        <v>18733</v>
      </c>
      <c r="P17" s="2">
        <v>24844</v>
      </c>
      <c r="Q17" s="2">
        <v>25750</v>
      </c>
      <c r="R17" s="2">
        <v>23944</v>
      </c>
      <c r="S17" s="2">
        <v>14646</v>
      </c>
    </row>
    <row r="18" spans="1:19">
      <c r="A18" s="9" t="s">
        <v>34</v>
      </c>
      <c r="B18" s="1">
        <f>B14+B15-B12-B13</f>
        <v>0</v>
      </c>
      <c r="C18" s="2">
        <f>C14+C15-C12-C13</f>
        <v>0</v>
      </c>
      <c r="D18" s="2">
        <f>D14+D15-D12-D13</f>
        <v>0</v>
      </c>
      <c r="E18" s="2">
        <f>E14+E15-E12-E13</f>
        <v>0</v>
      </c>
      <c r="F18" s="2">
        <f>F14+F15-F12-F13</f>
        <v>0</v>
      </c>
      <c r="G18" s="2">
        <f>G14+G15-G12-G13</f>
        <v>0</v>
      </c>
      <c r="H18" s="1">
        <f>H14+H15-H12-H13</f>
        <v>0</v>
      </c>
      <c r="I18" s="2">
        <f>I14+I15-I12-I13</f>
        <v>0</v>
      </c>
      <c r="J18" s="2">
        <f>J14+J15-J12-J13</f>
        <v>0</v>
      </c>
      <c r="K18" s="2">
        <f>K14+K15-K12-K13</f>
        <v>0</v>
      </c>
      <c r="L18" s="2">
        <f>L14+L15-L12-L13</f>
        <v>0</v>
      </c>
      <c r="M18" s="2">
        <f>M14+M15-M12-M13</f>
        <v>0</v>
      </c>
      <c r="N18" s="1">
        <f>N14+N15-N12-N13</f>
        <v>0</v>
      </c>
      <c r="O18" s="2">
        <f>O14+O15-O12-O13</f>
        <v>0</v>
      </c>
      <c r="P18" s="2">
        <f>P14+P15-P12-P13</f>
        <v>0</v>
      </c>
      <c r="Q18" s="2">
        <f>Q14+Q15-Q12-Q13</f>
        <v>0</v>
      </c>
      <c r="R18" s="2">
        <f>R14+R15-R12-R13</f>
        <v>0</v>
      </c>
      <c r="S18" s="2">
        <f>S14+S15-S12-S13</f>
        <v>0</v>
      </c>
    </row>
    <row r="19" spans="1:19">
      <c r="A19" s="11" t="s">
        <v>35</v>
      </c>
      <c r="B19" s="1">
        <f>(B8-B9)*(1-0.21)</f>
        <v>0</v>
      </c>
      <c r="C19" s="2">
        <f>(C8-C9)*(1-0.21)</f>
        <v>0</v>
      </c>
      <c r="D19" s="2">
        <f>(D8-D9)*(1-0.21)</f>
        <v>0</v>
      </c>
      <c r="E19" s="2">
        <f>(E8-E9)*(1-0.21)</f>
        <v>0</v>
      </c>
      <c r="F19" s="2">
        <f>(F8-F9)*(1-0.21)</f>
        <v>0</v>
      </c>
      <c r="G19" s="2">
        <f>(G8-G9)*(1-0.21)</f>
        <v>0</v>
      </c>
      <c r="H19" s="1">
        <f>(H8-H9)*(1-0.21)</f>
        <v>0</v>
      </c>
      <c r="I19" s="2">
        <f>(I8-I9)*(1-0.21)</f>
        <v>0</v>
      </c>
      <c r="J19" s="2">
        <f>(J8-J9)*(1-0.21)</f>
        <v>0</v>
      </c>
      <c r="K19" s="2">
        <f>(K8-K9)*(1-0.21)</f>
        <v>0</v>
      </c>
      <c r="L19" s="2">
        <f>(L8-L9)*(1-0.21)</f>
        <v>0</v>
      </c>
      <c r="M19" s="2">
        <f>(M8-M9)*(1-0.21)</f>
        <v>0</v>
      </c>
      <c r="N19" s="1">
        <f>(N8-N9)*(1-0.21)</f>
        <v>0</v>
      </c>
      <c r="O19" s="2">
        <f>(O8-O9)*(1-0.21)</f>
        <v>0</v>
      </c>
      <c r="P19" s="2">
        <f>(P8-P9)*(1-0.21)</f>
        <v>0</v>
      </c>
      <c r="Q19" s="2">
        <f>(Q8-Q9)*(1-0.21)</f>
        <v>0</v>
      </c>
      <c r="R19" s="2">
        <f>(R8-R9)*(1-0.21)</f>
        <v>0</v>
      </c>
      <c r="S19" s="2">
        <f>(S8-S9)*(1-0.21)</f>
        <v>0</v>
      </c>
    </row>
    <row r="20" spans="1:19">
      <c r="A20" s="9" t="s">
        <v>36</v>
      </c>
      <c r="B20" s="1">
        <f>B7+B19</f>
        <v>0</v>
      </c>
      <c r="C20" s="10">
        <f>C7+C19</f>
        <v>0</v>
      </c>
      <c r="D20" s="10">
        <f>D7+D19</f>
        <v>0</v>
      </c>
      <c r="E20" s="10">
        <f>E7+E19</f>
        <v>0</v>
      </c>
      <c r="F20" s="10">
        <f>F7+F19</f>
        <v>0</v>
      </c>
      <c r="G20" s="10">
        <f>G7+G19</f>
        <v>0</v>
      </c>
      <c r="H20" s="1">
        <f>H7+H19</f>
        <v>0</v>
      </c>
      <c r="I20" s="10">
        <f>I7+I19</f>
        <v>0</v>
      </c>
      <c r="J20" s="10">
        <f>J7+J19</f>
        <v>0</v>
      </c>
      <c r="K20" s="10">
        <f>K7+K19</f>
        <v>0</v>
      </c>
      <c r="L20" s="10">
        <f>L7+L19</f>
        <v>0</v>
      </c>
      <c r="M20" s="10">
        <f>M7+M19</f>
        <v>0</v>
      </c>
      <c r="N20" s="1">
        <f>N7+N19</f>
        <v>0</v>
      </c>
      <c r="O20" s="10">
        <f>O7+O19</f>
        <v>0</v>
      </c>
      <c r="P20" s="10">
        <f>P7+P19</f>
        <v>0</v>
      </c>
      <c r="Q20" s="10">
        <f>Q7+Q19</f>
        <v>0</v>
      </c>
      <c r="R20" s="10">
        <f>R7+R19</f>
        <v>0</v>
      </c>
      <c r="S20" s="10">
        <f>S7+S19</f>
        <v>0</v>
      </c>
    </row>
    <row r="22" spans="1:19" ht="48" customHeight="1">
      <c r="A22" s="4"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S29"/>
  <sheetViews>
    <sheetView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62.7109375" customWidth="1"/>
    <col min="2" max="19" width="12.7109375" customWidth="1"/>
  </cols>
  <sheetData>
    <row r="1" spans="1:19">
      <c r="A1" s="3" t="s">
        <v>38</v>
      </c>
    </row>
    <row r="2" spans="1:19" ht="32" customHeight="1">
      <c r="A2" s="4" t="s">
        <v>39</v>
      </c>
    </row>
    <row r="3" spans="1:19">
      <c r="B3" s="6" t="s">
        <v>41</v>
      </c>
      <c r="C3" s="6"/>
      <c r="D3" s="6"/>
      <c r="E3" s="6"/>
      <c r="F3" s="6"/>
      <c r="G3" s="6"/>
      <c r="H3" s="7" t="s">
        <v>48</v>
      </c>
      <c r="I3" s="7"/>
      <c r="J3" s="7"/>
      <c r="K3" s="7"/>
      <c r="L3" s="7"/>
      <c r="M3" s="7"/>
      <c r="N3" s="8" t="s">
        <v>50</v>
      </c>
      <c r="O3" s="8"/>
      <c r="P3" s="8"/>
      <c r="Q3" s="8"/>
      <c r="R3" s="8"/>
      <c r="S3" s="8"/>
    </row>
    <row r="4" spans="1:19">
      <c r="A4" s="5" t="s">
        <v>40</v>
      </c>
      <c r="B4" s="5" t="s">
        <v>42</v>
      </c>
      <c r="C4" s="5" t="s">
        <v>43</v>
      </c>
      <c r="D4" s="5" t="s">
        <v>44</v>
      </c>
      <c r="E4" s="5" t="s">
        <v>45</v>
      </c>
      <c r="F4" s="5" t="s">
        <v>46</v>
      </c>
      <c r="G4" s="5" t="s">
        <v>47</v>
      </c>
      <c r="H4" s="5" t="s">
        <v>49</v>
      </c>
      <c r="I4" s="5" t="s">
        <v>42</v>
      </c>
      <c r="J4" s="5" t="s">
        <v>43</v>
      </c>
      <c r="K4" s="5" t="s">
        <v>44</v>
      </c>
      <c r="L4" s="5" t="s">
        <v>45</v>
      </c>
      <c r="M4" s="5" t="s">
        <v>46</v>
      </c>
      <c r="N4" s="5" t="s">
        <v>49</v>
      </c>
      <c r="O4" s="5" t="s">
        <v>42</v>
      </c>
      <c r="P4" s="5" t="s">
        <v>43</v>
      </c>
      <c r="Q4" s="5" t="s">
        <v>44</v>
      </c>
      <c r="R4" s="5" t="s">
        <v>45</v>
      </c>
      <c r="S4" s="5" t="s">
        <v>46</v>
      </c>
    </row>
    <row r="6" spans="1:19">
      <c r="A6" s="9" t="s">
        <v>51</v>
      </c>
    </row>
    <row r="7" spans="1:19">
      <c r="A7" s="11" t="s">
        <v>52</v>
      </c>
      <c r="B7" s="1"/>
      <c r="C7" s="12">
        <f>Sources!C7/Sources!C5</f>
        <v>0</v>
      </c>
      <c r="D7" s="12">
        <f>Sources!D7/Sources!D5</f>
        <v>0</v>
      </c>
      <c r="E7" s="12">
        <f>Sources!E7/Sources!E5</f>
        <v>0</v>
      </c>
      <c r="F7" s="12">
        <f>Sources!F7/Sources!F5</f>
        <v>0</v>
      </c>
      <c r="G7" s="12">
        <f>Sources!G7/Sources!G5</f>
        <v>0</v>
      </c>
      <c r="H7" s="1"/>
      <c r="I7" s="12">
        <f>Sources!I7/Sources!I5</f>
        <v>0</v>
      </c>
      <c r="J7" s="12">
        <f>Sources!J7/Sources!J5</f>
        <v>0</v>
      </c>
      <c r="K7" s="12">
        <f>Sources!K7/Sources!K5</f>
        <v>0</v>
      </c>
      <c r="L7" s="12">
        <f>Sources!L7/Sources!L5</f>
        <v>0</v>
      </c>
      <c r="M7" s="12">
        <f>Sources!M7/Sources!M5</f>
        <v>0</v>
      </c>
      <c r="N7" s="1"/>
      <c r="O7" s="12">
        <f>Sources!O7/Sources!O5</f>
        <v>0</v>
      </c>
      <c r="P7" s="12">
        <f>Sources!P7/Sources!P5</f>
        <v>0</v>
      </c>
      <c r="Q7" s="12">
        <f>Sources!Q7/Sources!Q5</f>
        <v>0</v>
      </c>
      <c r="R7" s="12">
        <f>Sources!R7/Sources!R5</f>
        <v>0</v>
      </c>
      <c r="S7" s="12">
        <f>Sources!S7/Sources!S5</f>
        <v>0</v>
      </c>
    </row>
    <row r="8" spans="1:19">
      <c r="A8" s="11" t="s">
        <v>53</v>
      </c>
      <c r="B8" s="1"/>
      <c r="C8" s="13">
        <f>Sources!C5/(((Sources!B10)+(Sources!C10))/2)</f>
        <v>0</v>
      </c>
      <c r="D8" s="13">
        <f>Sources!D5/(((Sources!C10)+(Sources!D10))/2)</f>
        <v>0</v>
      </c>
      <c r="E8" s="13">
        <f>Sources!E5/(((Sources!D10)+(Sources!E10))/2)</f>
        <v>0</v>
      </c>
      <c r="F8" s="13">
        <f>Sources!F5/(((Sources!E10)+(Sources!F10))/2)</f>
        <v>0</v>
      </c>
      <c r="G8" s="13">
        <f>Sources!G5/(((Sources!F10)+(Sources!G10))/2)</f>
        <v>0</v>
      </c>
      <c r="H8" s="1"/>
      <c r="I8" s="13">
        <f>Sources!I5/(((Sources!H10)+(Sources!I10))/2)</f>
        <v>0</v>
      </c>
      <c r="J8" s="13">
        <f>Sources!J5/(((Sources!I10)+(Sources!J10))/2)</f>
        <v>0</v>
      </c>
      <c r="K8" s="13">
        <f>Sources!K5/(((Sources!J10)+(Sources!K10))/2)</f>
        <v>0</v>
      </c>
      <c r="L8" s="13">
        <f>Sources!L5/(((Sources!K10)+(Sources!L10))/2)</f>
        <v>0</v>
      </c>
      <c r="M8" s="13">
        <f>Sources!M5/(((Sources!L10)+(Sources!M10))/2)</f>
        <v>0</v>
      </c>
      <c r="N8" s="1"/>
      <c r="O8" s="13">
        <f>Sources!O5/(((Sources!N10)+(Sources!O10))/2)</f>
        <v>0</v>
      </c>
      <c r="P8" s="13">
        <f>Sources!P5/(((Sources!O10)+(Sources!P10))/2)</f>
        <v>0</v>
      </c>
      <c r="Q8" s="13">
        <f>Sources!Q5/(((Sources!P10)+(Sources!Q10))/2)</f>
        <v>0</v>
      </c>
      <c r="R8" s="13">
        <f>Sources!R5/(((Sources!Q10)+(Sources!R10))/2)</f>
        <v>0</v>
      </c>
      <c r="S8" s="13">
        <f>Sources!S5/(((Sources!R10)+(Sources!S10))/2)</f>
        <v>0</v>
      </c>
    </row>
    <row r="9" spans="1:19">
      <c r="A9" s="11" t="s">
        <v>54</v>
      </c>
      <c r="B9" s="1"/>
      <c r="C9" s="13">
        <f>(((Sources!B10)+(Sources!C10))/2)/(((Sources!B11)+(Sources!C11))/2)</f>
        <v>0</v>
      </c>
      <c r="D9" s="13">
        <f>(((Sources!C10)+(Sources!D10))/2)/(((Sources!C11)+(Sources!D11))/2)</f>
        <v>0</v>
      </c>
      <c r="E9" s="13">
        <f>(((Sources!D10)+(Sources!E10))/2)/(((Sources!D11)+(Sources!E11))/2)</f>
        <v>0</v>
      </c>
      <c r="F9" s="13">
        <f>(((Sources!E10)+(Sources!F10))/2)/(((Sources!E11)+(Sources!F11))/2)</f>
        <v>0</v>
      </c>
      <c r="G9" s="13">
        <f>(((Sources!F10)+(Sources!G10))/2)/(((Sources!F11)+(Sources!G11))/2)</f>
        <v>0</v>
      </c>
      <c r="H9" s="1"/>
      <c r="I9" s="13">
        <f>(((Sources!H10)+(Sources!I10))/2)/(((Sources!H11)+(Sources!I11))/2)</f>
        <v>0</v>
      </c>
      <c r="J9" s="13">
        <f>(((Sources!I10)+(Sources!J10))/2)/(((Sources!I11)+(Sources!J11))/2)</f>
        <v>0</v>
      </c>
      <c r="K9" s="13">
        <f>(((Sources!J10)+(Sources!K10))/2)/(((Sources!J11)+(Sources!K11))/2)</f>
        <v>0</v>
      </c>
      <c r="L9" s="13">
        <f>(((Sources!K10)+(Sources!L10))/2)/(((Sources!K11)+(Sources!L11))/2)</f>
        <v>0</v>
      </c>
      <c r="M9" s="13">
        <f>(((Sources!L10)+(Sources!M10))/2)/(((Sources!L11)+(Sources!M11))/2)</f>
        <v>0</v>
      </c>
      <c r="N9" s="1"/>
      <c r="O9" s="13">
        <f>(((Sources!N10)+(Sources!O10))/2)/(((Sources!N11)+(Sources!O11))/2)</f>
        <v>0</v>
      </c>
      <c r="P9" s="13">
        <f>(((Sources!O10)+(Sources!P10))/2)/(((Sources!O11)+(Sources!P11))/2)</f>
        <v>0</v>
      </c>
      <c r="Q9" s="13">
        <f>(((Sources!P10)+(Sources!Q10))/2)/(((Sources!P11)+(Sources!Q11))/2)</f>
        <v>0</v>
      </c>
      <c r="R9" s="13">
        <f>(((Sources!Q10)+(Sources!R10))/2)/(((Sources!Q11)+(Sources!R11))/2)</f>
        <v>0</v>
      </c>
      <c r="S9" s="13">
        <f>(((Sources!R10)+(Sources!S10))/2)/(((Sources!R11)+(Sources!S11))/2)</f>
        <v>0</v>
      </c>
    </row>
    <row r="10" spans="1:19">
      <c r="A10" s="9" t="s">
        <v>55</v>
      </c>
      <c r="B10" s="1"/>
      <c r="C10" s="14">
        <f>Sources!C7/(((Sources!B11)+(Sources!C11))/2)</f>
        <v>0</v>
      </c>
      <c r="D10" s="14">
        <f>Sources!D7/(((Sources!C11)+(Sources!D11))/2)</f>
        <v>0</v>
      </c>
      <c r="E10" s="14">
        <f>Sources!E7/(((Sources!D11)+(Sources!E11))/2)</f>
        <v>0</v>
      </c>
      <c r="F10" s="14">
        <f>Sources!F7/(((Sources!E11)+(Sources!F11))/2)</f>
        <v>0</v>
      </c>
      <c r="G10" s="14">
        <f>Sources!G7/(((Sources!F11)+(Sources!G11))/2)</f>
        <v>0</v>
      </c>
      <c r="H10" s="1"/>
      <c r="I10" s="14">
        <f>Sources!I7/(((Sources!H11)+(Sources!I11))/2)</f>
        <v>0</v>
      </c>
      <c r="J10" s="14">
        <f>Sources!J7/(((Sources!I11)+(Sources!J11))/2)</f>
        <v>0</v>
      </c>
      <c r="K10" s="14">
        <f>Sources!K7/(((Sources!J11)+(Sources!K11))/2)</f>
        <v>0</v>
      </c>
      <c r="L10" s="14">
        <f>Sources!L7/(((Sources!K11)+(Sources!L11))/2)</f>
        <v>0</v>
      </c>
      <c r="M10" s="14">
        <f>Sources!M7/(((Sources!L11)+(Sources!M11))/2)</f>
        <v>0</v>
      </c>
      <c r="N10" s="1"/>
      <c r="O10" s="14">
        <f>Sources!O7/(((Sources!N11)+(Sources!O11))/2)</f>
        <v>0</v>
      </c>
      <c r="P10" s="14">
        <f>Sources!P7/(((Sources!O11)+(Sources!P11))/2)</f>
        <v>0</v>
      </c>
      <c r="Q10" s="14">
        <f>Sources!Q7/(((Sources!P11)+(Sources!Q11))/2)</f>
        <v>0</v>
      </c>
      <c r="R10" s="14">
        <f>Sources!R7/(((Sources!Q11)+(Sources!R11))/2)</f>
        <v>0</v>
      </c>
      <c r="S10" s="14">
        <f>Sources!S7/(((Sources!R11)+(Sources!S11))/2)</f>
        <v>0</v>
      </c>
    </row>
    <row r="11" spans="1:19">
      <c r="A11" s="9" t="s">
        <v>56</v>
      </c>
      <c r="B11" s="1"/>
      <c r="C11" s="15">
        <f>IF(ABS(C7*C8*C9-C10)&lt;0.0000005,"YES","NO")</f>
        <v>0</v>
      </c>
      <c r="D11" s="15">
        <f>IF(ABS(D7*D8*D9-D10)&lt;0.0000005,"YES","NO")</f>
        <v>0</v>
      </c>
      <c r="E11" s="15">
        <f>IF(ABS(E7*E8*E9-E10)&lt;0.0000005,"YES","NO")</f>
        <v>0</v>
      </c>
      <c r="F11" s="15">
        <f>IF(ABS(F7*F8*F9-F10)&lt;0.0000005,"YES","NO")</f>
        <v>0</v>
      </c>
      <c r="G11" s="15">
        <f>IF(ABS(G7*G8*G9-G10)&lt;0.0000005,"YES","NO")</f>
        <v>0</v>
      </c>
      <c r="H11" s="1"/>
      <c r="I11" s="15">
        <f>IF(ABS(I7*I8*I9-I10)&lt;0.0000005,"YES","NO")</f>
        <v>0</v>
      </c>
      <c r="J11" s="15">
        <f>IF(ABS(J7*J8*J9-J10)&lt;0.0000005,"YES","NO")</f>
        <v>0</v>
      </c>
      <c r="K11" s="15">
        <f>IF(ABS(K7*K8*K9-K10)&lt;0.0000005,"YES","NO")</f>
        <v>0</v>
      </c>
      <c r="L11" s="15">
        <f>IF(ABS(L7*L8*L9-L10)&lt;0.0000005,"YES","NO")</f>
        <v>0</v>
      </c>
      <c r="M11" s="15">
        <f>IF(ABS(M7*M8*M9-M10)&lt;0.0000005,"YES","NO")</f>
        <v>0</v>
      </c>
      <c r="N11" s="1"/>
      <c r="O11" s="15">
        <f>IF(ABS(O7*O8*O9-O10)&lt;0.0000005,"YES","NO")</f>
        <v>0</v>
      </c>
      <c r="P11" s="15">
        <f>IF(ABS(P7*P8*P9-P10)&lt;0.0000005,"YES","NO")</f>
        <v>0</v>
      </c>
      <c r="Q11" s="15">
        <f>IF(ABS(Q7*Q8*Q9-Q10)&lt;0.0000005,"YES","NO")</f>
        <v>0</v>
      </c>
      <c r="R11" s="15">
        <f>IF(ABS(R7*R8*R9-R10)&lt;0.0000005,"YES","NO")</f>
        <v>0</v>
      </c>
      <c r="S11" s="15">
        <f>IF(ABS(S7*S8*S9-S10)&lt;0.0000005,"YES","NO")</f>
        <v>0</v>
      </c>
    </row>
    <row r="13" spans="1:19">
      <c r="A13" s="9" t="s">
        <v>57</v>
      </c>
    </row>
    <row r="14" spans="1:19">
      <c r="A14" s="11" t="s">
        <v>58</v>
      </c>
      <c r="B14" s="1"/>
      <c r="C14" s="12">
        <f>Sources!C20/Sources!C5</f>
        <v>0</v>
      </c>
      <c r="D14" s="12">
        <f>Sources!D20/Sources!D5</f>
        <v>0</v>
      </c>
      <c r="E14" s="12">
        <f>Sources!E20/Sources!E5</f>
        <v>0</v>
      </c>
      <c r="F14" s="12">
        <f>Sources!F20/Sources!F5</f>
        <v>0</v>
      </c>
      <c r="G14" s="12">
        <f>Sources!G20/Sources!G5</f>
        <v>0</v>
      </c>
      <c r="H14" s="1"/>
      <c r="I14" s="12">
        <f>Sources!I20/Sources!I5</f>
        <v>0</v>
      </c>
      <c r="J14" s="12">
        <f>Sources!J20/Sources!J5</f>
        <v>0</v>
      </c>
      <c r="K14" s="12">
        <f>Sources!K20/Sources!K5</f>
        <v>0</v>
      </c>
      <c r="L14" s="12">
        <f>Sources!L20/Sources!L5</f>
        <v>0</v>
      </c>
      <c r="M14" s="12">
        <f>Sources!M20/Sources!M5</f>
        <v>0</v>
      </c>
      <c r="N14" s="1"/>
      <c r="O14" s="12">
        <f>Sources!O20/Sources!O5</f>
        <v>0</v>
      </c>
      <c r="P14" s="12">
        <f>Sources!P20/Sources!P5</f>
        <v>0</v>
      </c>
      <c r="Q14" s="12">
        <f>Sources!Q20/Sources!Q5</f>
        <v>0</v>
      </c>
      <c r="R14" s="12">
        <f>Sources!R20/Sources!R5</f>
        <v>0</v>
      </c>
      <c r="S14" s="12">
        <f>Sources!S20/Sources!S5</f>
        <v>0</v>
      </c>
    </row>
    <row r="15" spans="1:19">
      <c r="A15" s="11" t="s">
        <v>59</v>
      </c>
      <c r="B15" s="1"/>
      <c r="C15" s="13">
        <f>Sources!C5/((((Sources!B11)+(Sources!C11))/2)+(((Sources!B18)+(Sources!C18))/2))</f>
        <v>0</v>
      </c>
      <c r="D15" s="13">
        <f>Sources!D5/((((Sources!C11)+(Sources!D11))/2)+(((Sources!C18)+(Sources!D18))/2))</f>
        <v>0</v>
      </c>
      <c r="E15" s="13">
        <f>Sources!E5/((((Sources!D11)+(Sources!E11))/2)+(((Sources!D18)+(Sources!E18))/2))</f>
        <v>0</v>
      </c>
      <c r="F15" s="13">
        <f>Sources!F5/((((Sources!E11)+(Sources!F11))/2)+(((Sources!E18)+(Sources!F18))/2))</f>
        <v>0</v>
      </c>
      <c r="G15" s="13">
        <f>Sources!G5/((((Sources!F11)+(Sources!G11))/2)+(((Sources!F18)+(Sources!G18))/2))</f>
        <v>0</v>
      </c>
      <c r="H15" s="1"/>
      <c r="I15" s="13">
        <f>Sources!I5/((((Sources!H11)+(Sources!I11))/2)+(((Sources!H18)+(Sources!I18))/2))</f>
        <v>0</v>
      </c>
      <c r="J15" s="13">
        <f>Sources!J5/((((Sources!I11)+(Sources!J11))/2)+(((Sources!I18)+(Sources!J18))/2))</f>
        <v>0</v>
      </c>
      <c r="K15" s="13">
        <f>Sources!K5/((((Sources!J11)+(Sources!K11))/2)+(((Sources!J18)+(Sources!K18))/2))</f>
        <v>0</v>
      </c>
      <c r="L15" s="13">
        <f>Sources!L5/((((Sources!K11)+(Sources!L11))/2)+(((Sources!K18)+(Sources!L18))/2))</f>
        <v>0</v>
      </c>
      <c r="M15" s="13">
        <f>Sources!M5/((((Sources!L11)+(Sources!M11))/2)+(((Sources!L18)+(Sources!M18))/2))</f>
        <v>0</v>
      </c>
      <c r="N15" s="1"/>
      <c r="O15" s="13">
        <f>Sources!O5/((((Sources!N11)+(Sources!O11))/2)+(((Sources!N18)+(Sources!O18))/2))</f>
        <v>0</v>
      </c>
      <c r="P15" s="13">
        <f>Sources!P5/((((Sources!O11)+(Sources!P11))/2)+(((Sources!O18)+(Sources!P18))/2))</f>
        <v>0</v>
      </c>
      <c r="Q15" s="13">
        <f>Sources!Q5/((((Sources!P11)+(Sources!Q11))/2)+(((Sources!P18)+(Sources!Q18))/2))</f>
        <v>0</v>
      </c>
      <c r="R15" s="13">
        <f>Sources!R5/((((Sources!Q11)+(Sources!R11))/2)+(((Sources!Q18)+(Sources!R18))/2))</f>
        <v>0</v>
      </c>
      <c r="S15" s="13">
        <f>Sources!S5/((((Sources!R11)+(Sources!S11))/2)+(((Sources!R18)+(Sources!S18))/2))</f>
        <v>0</v>
      </c>
    </row>
    <row r="16" spans="1:19">
      <c r="A16" s="9" t="s">
        <v>60</v>
      </c>
      <c r="B16" s="1"/>
      <c r="C16" s="14">
        <f>C14*C15</f>
        <v>0</v>
      </c>
      <c r="D16" s="14">
        <f>D14*D15</f>
        <v>0</v>
      </c>
      <c r="E16" s="14">
        <f>E14*E15</f>
        <v>0</v>
      </c>
      <c r="F16" s="14">
        <f>F14*F15</f>
        <v>0</v>
      </c>
      <c r="G16" s="14">
        <f>G14*G15</f>
        <v>0</v>
      </c>
      <c r="H16" s="1"/>
      <c r="I16" s="14">
        <f>I14*I15</f>
        <v>0</v>
      </c>
      <c r="J16" s="14">
        <f>J14*J15</f>
        <v>0</v>
      </c>
      <c r="K16" s="14">
        <f>K14*K15</f>
        <v>0</v>
      </c>
      <c r="L16" s="14">
        <f>L14*L15</f>
        <v>0</v>
      </c>
      <c r="M16" s="14">
        <f>M14*M15</f>
        <v>0</v>
      </c>
      <c r="N16" s="1"/>
      <c r="O16" s="14">
        <f>O14*O15</f>
        <v>0</v>
      </c>
      <c r="P16" s="14">
        <f>P14*P15</f>
        <v>0</v>
      </c>
      <c r="Q16" s="14">
        <f>Q14*Q15</f>
        <v>0</v>
      </c>
      <c r="R16" s="14">
        <f>R14*R15</f>
        <v>0</v>
      </c>
      <c r="S16" s="14">
        <f>S14*S15</f>
        <v>0</v>
      </c>
    </row>
    <row r="17" spans="1:19">
      <c r="A17" s="9" t="s">
        <v>61</v>
      </c>
      <c r="B17" s="1"/>
      <c r="C17" s="15">
        <f>IF(ABS(C14*C15-C16)&lt;0.0000005,"YES","NO")</f>
        <v>0</v>
      </c>
      <c r="D17" s="15">
        <f>IF(ABS(D14*D15-D16)&lt;0.0000005,"YES","NO")</f>
        <v>0</v>
      </c>
      <c r="E17" s="15">
        <f>IF(ABS(E14*E15-E16)&lt;0.0000005,"YES","NO")</f>
        <v>0</v>
      </c>
      <c r="F17" s="15">
        <f>IF(ABS(F14*F15-F16)&lt;0.0000005,"YES","NO")</f>
        <v>0</v>
      </c>
      <c r="G17" s="15">
        <f>IF(ABS(G14*G15-G16)&lt;0.0000005,"YES","NO")</f>
        <v>0</v>
      </c>
      <c r="H17" s="1"/>
      <c r="I17" s="15">
        <f>IF(ABS(I14*I15-I16)&lt;0.0000005,"YES","NO")</f>
        <v>0</v>
      </c>
      <c r="J17" s="15">
        <f>IF(ABS(J14*J15-J16)&lt;0.0000005,"YES","NO")</f>
        <v>0</v>
      </c>
      <c r="K17" s="15">
        <f>IF(ABS(K14*K15-K16)&lt;0.0000005,"YES","NO")</f>
        <v>0</v>
      </c>
      <c r="L17" s="15">
        <f>IF(ABS(L14*L15-L16)&lt;0.0000005,"YES","NO")</f>
        <v>0</v>
      </c>
      <c r="M17" s="15">
        <f>IF(ABS(M14*M15-M16)&lt;0.0000005,"YES","NO")</f>
        <v>0</v>
      </c>
      <c r="N17" s="1"/>
      <c r="O17" s="15">
        <f>IF(ABS(O14*O15-O16)&lt;0.0000005,"YES","NO")</f>
        <v>0</v>
      </c>
      <c r="P17" s="15">
        <f>IF(ABS(P14*P15-P16)&lt;0.0000005,"YES","NO")</f>
        <v>0</v>
      </c>
      <c r="Q17" s="15">
        <f>IF(ABS(Q14*Q15-Q16)&lt;0.0000005,"YES","NO")</f>
        <v>0</v>
      </c>
      <c r="R17" s="15">
        <f>IF(ABS(R14*R15-R16)&lt;0.0000005,"YES","NO")</f>
        <v>0</v>
      </c>
      <c r="S17" s="15">
        <f>IF(ABS(S14*S15-S16)&lt;0.0000005,"YES","NO")</f>
        <v>0</v>
      </c>
    </row>
    <row r="19" spans="1:19">
      <c r="A19" s="11" t="s">
        <v>60</v>
      </c>
      <c r="B19" s="1"/>
      <c r="C19" s="12">
        <f>C16</f>
        <v>0</v>
      </c>
      <c r="D19" s="12">
        <f>D16</f>
        <v>0</v>
      </c>
      <c r="E19" s="12">
        <f>E16</f>
        <v>0</v>
      </c>
      <c r="F19" s="12">
        <f>F16</f>
        <v>0</v>
      </c>
      <c r="G19" s="12">
        <f>G16</f>
        <v>0</v>
      </c>
      <c r="H19" s="1"/>
      <c r="I19" s="12">
        <f>I16</f>
        <v>0</v>
      </c>
      <c r="J19" s="12">
        <f>J16</f>
        <v>0</v>
      </c>
      <c r="K19" s="12">
        <f>K16</f>
        <v>0</v>
      </c>
      <c r="L19" s="12">
        <f>L16</f>
        <v>0</v>
      </c>
      <c r="M19" s="12">
        <f>M16</f>
        <v>0</v>
      </c>
      <c r="N19" s="1"/>
      <c r="O19" s="12">
        <f>O16</f>
        <v>0</v>
      </c>
      <c r="P19" s="12">
        <f>P16</f>
        <v>0</v>
      </c>
      <c r="Q19" s="12">
        <f>Q16</f>
        <v>0</v>
      </c>
      <c r="R19" s="12">
        <f>R16</f>
        <v>0</v>
      </c>
      <c r="S19" s="12">
        <f>S16</f>
        <v>0</v>
      </c>
    </row>
    <row r="20" spans="1:19">
      <c r="A20" s="11" t="s">
        <v>62</v>
      </c>
      <c r="B20" s="1"/>
      <c r="C20" s="12">
        <f>IF(ABS((((Sources!B18)+(Sources!C18))/2))&lt;250,"n.m.",Sources!C19/((((Sources!B18)+(Sources!C18))/2)))</f>
        <v>0</v>
      </c>
      <c r="D20" s="12">
        <f>IF(ABS((((Sources!C18)+(Sources!D18))/2))&lt;250,"n.m.",Sources!D19/((((Sources!C18)+(Sources!D18))/2)))</f>
        <v>0</v>
      </c>
      <c r="E20" s="12">
        <f>IF(ABS((((Sources!D18)+(Sources!E18))/2))&lt;250,"n.m.",Sources!E19/((((Sources!D18)+(Sources!E18))/2)))</f>
        <v>0</v>
      </c>
      <c r="F20" s="12">
        <f>IF(ABS((((Sources!E18)+(Sources!F18))/2))&lt;250,"n.m.",Sources!F19/((((Sources!E18)+(Sources!F18))/2)))</f>
        <v>0</v>
      </c>
      <c r="G20" s="12">
        <f>IF(ABS((((Sources!F18)+(Sources!G18))/2))&lt;250,"n.m.",Sources!G19/((((Sources!F18)+(Sources!G18))/2)))</f>
        <v>0</v>
      </c>
      <c r="H20" s="1"/>
      <c r="I20" s="12">
        <f>IF(ABS((((Sources!H18)+(Sources!I18))/2))&lt;250,"n.m.",Sources!I19/((((Sources!H18)+(Sources!I18))/2)))</f>
        <v>0</v>
      </c>
      <c r="J20" s="12">
        <f>IF(ABS((((Sources!I18)+(Sources!J18))/2))&lt;250,"n.m.",Sources!J19/((((Sources!I18)+(Sources!J18))/2)))</f>
        <v>0</v>
      </c>
      <c r="K20" s="12">
        <f>IF(ABS((((Sources!J18)+(Sources!K18))/2))&lt;250,"n.m.",Sources!K19/((((Sources!J18)+(Sources!K18))/2)))</f>
        <v>0</v>
      </c>
      <c r="L20" s="12">
        <f>IF(ABS((((Sources!K18)+(Sources!L18))/2))&lt;250,"n.m.",Sources!L19/((((Sources!K18)+(Sources!L18))/2)))</f>
        <v>0</v>
      </c>
      <c r="M20" s="12">
        <f>IF(ABS((((Sources!L18)+(Sources!M18))/2))&lt;250,"n.m.",Sources!M19/((((Sources!L18)+(Sources!M18))/2)))</f>
        <v>0</v>
      </c>
      <c r="N20" s="1"/>
      <c r="O20" s="12">
        <f>IF(ABS((((Sources!N18)+(Sources!O18))/2))&lt;250,"n.m.",Sources!O19/((((Sources!N18)+(Sources!O18))/2)))</f>
        <v>0</v>
      </c>
      <c r="P20" s="12">
        <f>IF(ABS((((Sources!O18)+(Sources!P18))/2))&lt;250,"n.m.",Sources!P19/((((Sources!O18)+(Sources!P18))/2)))</f>
        <v>0</v>
      </c>
      <c r="Q20" s="12">
        <f>IF(ABS((((Sources!P18)+(Sources!Q18))/2))&lt;250,"n.m.",Sources!Q19/((((Sources!P18)+(Sources!Q18))/2)))</f>
        <v>0</v>
      </c>
      <c r="R20" s="12">
        <f>IF(ABS((((Sources!Q18)+(Sources!R18))/2))&lt;250,"n.m.",Sources!R19/((((Sources!Q18)+(Sources!R18))/2)))</f>
        <v>0</v>
      </c>
      <c r="S20" s="12">
        <f>IF(ABS((((Sources!R18)+(Sources!S18))/2))&lt;250,"n.m.",Sources!S19/((((Sources!R18)+(Sources!S18))/2)))</f>
        <v>0</v>
      </c>
    </row>
    <row r="21" spans="1:19">
      <c r="A21" s="11" t="s">
        <v>63</v>
      </c>
      <c r="B21" s="1"/>
      <c r="C21" s="12">
        <f>IF(C20="n.m.","n.m.",C19-C20)</f>
        <v>0</v>
      </c>
      <c r="D21" s="12">
        <f>IF(D20="n.m.","n.m.",D19-D20)</f>
        <v>0</v>
      </c>
      <c r="E21" s="12">
        <f>IF(E20="n.m.","n.m.",E19-E20)</f>
        <v>0</v>
      </c>
      <c r="F21" s="12">
        <f>IF(F20="n.m.","n.m.",F19-F20)</f>
        <v>0</v>
      </c>
      <c r="G21" s="12">
        <f>IF(G20="n.m.","n.m.",G19-G20)</f>
        <v>0</v>
      </c>
      <c r="H21" s="1"/>
      <c r="I21" s="12">
        <f>IF(I20="n.m.","n.m.",I19-I20)</f>
        <v>0</v>
      </c>
      <c r="J21" s="12">
        <f>IF(J20="n.m.","n.m.",J19-J20)</f>
        <v>0</v>
      </c>
      <c r="K21" s="12">
        <f>IF(K20="n.m.","n.m.",K19-K20)</f>
        <v>0</v>
      </c>
      <c r="L21" s="12">
        <f>IF(L20="n.m.","n.m.",L19-L20)</f>
        <v>0</v>
      </c>
      <c r="M21" s="12">
        <f>IF(M20="n.m.","n.m.",M19-M20)</f>
        <v>0</v>
      </c>
      <c r="N21" s="1"/>
      <c r="O21" s="12">
        <f>IF(O20="n.m.","n.m.",O19-O20)</f>
        <v>0</v>
      </c>
      <c r="P21" s="12">
        <f>IF(P20="n.m.","n.m.",P19-P20)</f>
        <v>0</v>
      </c>
      <c r="Q21" s="12">
        <f>IF(Q20="n.m.","n.m.",Q19-Q20)</f>
        <v>0</v>
      </c>
      <c r="R21" s="12">
        <f>IF(R20="n.m.","n.m.",R19-R20)</f>
        <v>0</v>
      </c>
      <c r="S21" s="12">
        <f>IF(S20="n.m.","n.m.",S19-S20)</f>
        <v>0</v>
      </c>
    </row>
    <row r="22" spans="1:19">
      <c r="A22" s="11" t="s">
        <v>64</v>
      </c>
      <c r="B22" s="1"/>
      <c r="C22" s="13">
        <f>(((Sources!B18)+(Sources!C18))/2)/(((Sources!B11)+(Sources!C11))/2)</f>
        <v>0</v>
      </c>
      <c r="D22" s="13">
        <f>(((Sources!C18)+(Sources!D18))/2)/(((Sources!C11)+(Sources!D11))/2)</f>
        <v>0</v>
      </c>
      <c r="E22" s="13">
        <f>(((Sources!D18)+(Sources!E18))/2)/(((Sources!D11)+(Sources!E11))/2)</f>
        <v>0</v>
      </c>
      <c r="F22" s="13">
        <f>(((Sources!E18)+(Sources!F18))/2)/(((Sources!E11)+(Sources!F11))/2)</f>
        <v>0</v>
      </c>
      <c r="G22" s="13">
        <f>(((Sources!F18)+(Sources!G18))/2)/(((Sources!F11)+(Sources!G11))/2)</f>
        <v>0</v>
      </c>
      <c r="H22" s="1"/>
      <c r="I22" s="13">
        <f>(((Sources!H18)+(Sources!I18))/2)/(((Sources!H11)+(Sources!I11))/2)</f>
        <v>0</v>
      </c>
      <c r="J22" s="13">
        <f>(((Sources!I18)+(Sources!J18))/2)/(((Sources!I11)+(Sources!J11))/2)</f>
        <v>0</v>
      </c>
      <c r="K22" s="13">
        <f>(((Sources!J18)+(Sources!K18))/2)/(((Sources!J11)+(Sources!K11))/2)</f>
        <v>0</v>
      </c>
      <c r="L22" s="13">
        <f>(((Sources!K18)+(Sources!L18))/2)/(((Sources!K11)+(Sources!L11))/2)</f>
        <v>0</v>
      </c>
      <c r="M22" s="13">
        <f>(((Sources!L18)+(Sources!M18))/2)/(((Sources!L11)+(Sources!M11))/2)</f>
        <v>0</v>
      </c>
      <c r="N22" s="1"/>
      <c r="O22" s="13">
        <f>(((Sources!N18)+(Sources!O18))/2)/(((Sources!N11)+(Sources!O11))/2)</f>
        <v>0</v>
      </c>
      <c r="P22" s="13">
        <f>(((Sources!O18)+(Sources!P18))/2)/(((Sources!O11)+(Sources!P11))/2)</f>
        <v>0</v>
      </c>
      <c r="Q22" s="13">
        <f>(((Sources!P18)+(Sources!Q18))/2)/(((Sources!P11)+(Sources!Q11))/2)</f>
        <v>0</v>
      </c>
      <c r="R22" s="13">
        <f>(((Sources!Q18)+(Sources!R18))/2)/(((Sources!Q11)+(Sources!R11))/2)</f>
        <v>0</v>
      </c>
      <c r="S22" s="13">
        <f>(((Sources!R18)+(Sources!S18))/2)/(((Sources!R11)+(Sources!S11))/2)</f>
        <v>0</v>
      </c>
    </row>
    <row r="23" spans="1:19">
      <c r="A23" s="9" t="s">
        <v>65</v>
      </c>
      <c r="B23" s="1"/>
      <c r="C23" s="14">
        <f>IF(C21="n.m.","n.m.",C21*C22)</f>
        <v>0</v>
      </c>
      <c r="D23" s="14">
        <f>IF(D21="n.m.","n.m.",D21*D22)</f>
        <v>0</v>
      </c>
      <c r="E23" s="14">
        <f>IF(E21="n.m.","n.m.",E21*E22)</f>
        <v>0</v>
      </c>
      <c r="F23" s="14">
        <f>IF(F21="n.m.","n.m.",F21*F22)</f>
        <v>0</v>
      </c>
      <c r="G23" s="14">
        <f>IF(G21="n.m.","n.m.",G21*G22)</f>
        <v>0</v>
      </c>
      <c r="H23" s="1"/>
      <c r="I23" s="14">
        <f>IF(I21="n.m.","n.m.",I21*I22)</f>
        <v>0</v>
      </c>
      <c r="J23" s="14">
        <f>IF(J21="n.m.","n.m.",J21*J22)</f>
        <v>0</v>
      </c>
      <c r="K23" s="14">
        <f>IF(K21="n.m.","n.m.",K21*K22)</f>
        <v>0</v>
      </c>
      <c r="L23" s="14">
        <f>IF(L21="n.m.","n.m.",L21*L22)</f>
        <v>0</v>
      </c>
      <c r="M23" s="14">
        <f>IF(M21="n.m.","n.m.",M21*M22)</f>
        <v>0</v>
      </c>
      <c r="N23" s="1"/>
      <c r="O23" s="14">
        <f>IF(O21="n.m.","n.m.",O21*O22)</f>
        <v>0</v>
      </c>
      <c r="P23" s="14">
        <f>IF(P21="n.m.","n.m.",P21*P22)</f>
        <v>0</v>
      </c>
      <c r="Q23" s="14">
        <f>IF(Q21="n.m.","n.m.",Q21*Q22)</f>
        <v>0</v>
      </c>
      <c r="R23" s="14">
        <f>IF(R21="n.m.","n.m.",R21*R22)</f>
        <v>0</v>
      </c>
      <c r="S23" s="14">
        <f>IF(S21="n.m.","n.m.",S21*S22)</f>
        <v>0</v>
      </c>
    </row>
    <row r="24" spans="1:19">
      <c r="A24" s="9" t="s">
        <v>55</v>
      </c>
      <c r="B24" s="1"/>
      <c r="C24" s="14">
        <f>Sources!C7/(((Sources!B11)+(Sources!C11))/2)</f>
        <v>0</v>
      </c>
      <c r="D24" s="14">
        <f>Sources!D7/(((Sources!C11)+(Sources!D11))/2)</f>
        <v>0</v>
      </c>
      <c r="E24" s="14">
        <f>Sources!E7/(((Sources!D11)+(Sources!E11))/2)</f>
        <v>0</v>
      </c>
      <c r="F24" s="14">
        <f>Sources!F7/(((Sources!E11)+(Sources!F11))/2)</f>
        <v>0</v>
      </c>
      <c r="G24" s="14">
        <f>Sources!G7/(((Sources!F11)+(Sources!G11))/2)</f>
        <v>0</v>
      </c>
      <c r="H24" s="1"/>
      <c r="I24" s="14">
        <f>Sources!I7/(((Sources!H11)+(Sources!I11))/2)</f>
        <v>0</v>
      </c>
      <c r="J24" s="14">
        <f>Sources!J7/(((Sources!I11)+(Sources!J11))/2)</f>
        <v>0</v>
      </c>
      <c r="K24" s="14">
        <f>Sources!K7/(((Sources!J11)+(Sources!K11))/2)</f>
        <v>0</v>
      </c>
      <c r="L24" s="14">
        <f>Sources!L7/(((Sources!K11)+(Sources!L11))/2)</f>
        <v>0</v>
      </c>
      <c r="M24" s="14">
        <f>Sources!M7/(((Sources!L11)+(Sources!M11))/2)</f>
        <v>0</v>
      </c>
      <c r="N24" s="1"/>
      <c r="O24" s="14">
        <f>Sources!O7/(((Sources!N11)+(Sources!O11))/2)</f>
        <v>0</v>
      </c>
      <c r="P24" s="14">
        <f>Sources!P7/(((Sources!O11)+(Sources!P11))/2)</f>
        <v>0</v>
      </c>
      <c r="Q24" s="14">
        <f>Sources!Q7/(((Sources!P11)+(Sources!Q11))/2)</f>
        <v>0</v>
      </c>
      <c r="R24" s="14">
        <f>Sources!R7/(((Sources!Q11)+(Sources!R11))/2)</f>
        <v>0</v>
      </c>
      <c r="S24" s="14">
        <f>Sources!S7/(((Sources!R11)+(Sources!S11))/2)</f>
        <v>0</v>
      </c>
    </row>
    <row r="25" spans="1:19">
      <c r="A25" s="9" t="s">
        <v>66</v>
      </c>
      <c r="B25" s="1"/>
      <c r="C25" s="15">
        <f>IF(C23="n.m.","n.m.",IF(ABS(C19+C23-C24)&lt;0.0000005,"YES","NO"))</f>
        <v>0</v>
      </c>
      <c r="D25" s="15">
        <f>IF(D23="n.m.","n.m.",IF(ABS(D19+D23-D24)&lt;0.0000005,"YES","NO"))</f>
        <v>0</v>
      </c>
      <c r="E25" s="15">
        <f>IF(E23="n.m.","n.m.",IF(ABS(E19+E23-E24)&lt;0.0000005,"YES","NO"))</f>
        <v>0</v>
      </c>
      <c r="F25" s="15">
        <f>IF(F23="n.m.","n.m.",IF(ABS(F19+F23-F24)&lt;0.0000005,"YES","NO"))</f>
        <v>0</v>
      </c>
      <c r="G25" s="15">
        <f>IF(G23="n.m.","n.m.",IF(ABS(G19+G23-G24)&lt;0.0000005,"YES","NO"))</f>
        <v>0</v>
      </c>
      <c r="H25" s="1"/>
      <c r="I25" s="15">
        <f>IF(I23="n.m.","n.m.",IF(ABS(I19+I23-I24)&lt;0.0000005,"YES","NO"))</f>
        <v>0</v>
      </c>
      <c r="J25" s="15">
        <f>IF(J23="n.m.","n.m.",IF(ABS(J19+J23-J24)&lt;0.0000005,"YES","NO"))</f>
        <v>0</v>
      </c>
      <c r="K25" s="15">
        <f>IF(K23="n.m.","n.m.",IF(ABS(K19+K23-K24)&lt;0.0000005,"YES","NO"))</f>
        <v>0</v>
      </c>
      <c r="L25" s="15">
        <f>IF(L23="n.m.","n.m.",IF(ABS(L19+L23-L24)&lt;0.0000005,"YES","NO"))</f>
        <v>0</v>
      </c>
      <c r="M25" s="15">
        <f>IF(M23="n.m.","n.m.",IF(ABS(M19+M23-M24)&lt;0.0000005,"YES","NO"))</f>
        <v>0</v>
      </c>
      <c r="N25" s="1"/>
      <c r="O25" s="15">
        <f>IF(O23="n.m.","n.m.",IF(ABS(O19+O23-O24)&lt;0.0000005,"YES","NO"))</f>
        <v>0</v>
      </c>
      <c r="P25" s="15">
        <f>IF(P23="n.m.","n.m.",IF(ABS(P19+P23-P24)&lt;0.0000005,"YES","NO"))</f>
        <v>0</v>
      </c>
      <c r="Q25" s="15">
        <f>IF(Q23="n.m.","n.m.",IF(ABS(Q19+Q23-Q24)&lt;0.0000005,"YES","NO"))</f>
        <v>0</v>
      </c>
      <c r="R25" s="15">
        <f>IF(R23="n.m.","n.m.",IF(ABS(R19+R23-R24)&lt;0.0000005,"YES","NO"))</f>
        <v>0</v>
      </c>
      <c r="S25" s="15">
        <f>IF(S23="n.m.","n.m.",IF(ABS(S19+S23-S24)&lt;0.0000005,"YES","NO"))</f>
        <v>0</v>
      </c>
    </row>
    <row r="27" spans="1:19">
      <c r="A27" s="11" t="s">
        <v>67</v>
      </c>
      <c r="B27" s="1"/>
      <c r="C27" s="12">
        <f>(Sources!C6)*(1-0.21)/(((((Sources!B11)+(Sources!C11))/2)+(((Sources!B18)+(Sources!C18))/2)))</f>
        <v>0</v>
      </c>
      <c r="D27" s="12">
        <f>(Sources!D6)*(1-0.21)/(((((Sources!C11)+(Sources!D11))/2)+(((Sources!C18)+(Sources!D18))/2)))</f>
        <v>0</v>
      </c>
      <c r="E27" s="12">
        <f>(Sources!E6)*(1-0.21)/(((((Sources!D11)+(Sources!E11))/2)+(((Sources!D18)+(Sources!E18))/2)))</f>
        <v>0</v>
      </c>
      <c r="F27" s="12">
        <f>(Sources!F6)*(1-0.21)/(((((Sources!E11)+(Sources!F11))/2)+(((Sources!E18)+(Sources!F18))/2)))</f>
        <v>0</v>
      </c>
      <c r="G27" s="12">
        <f>(Sources!G6)*(1-0.21)/(((((Sources!F11)+(Sources!G11))/2)+(((Sources!F18)+(Sources!G18))/2)))</f>
        <v>0</v>
      </c>
      <c r="H27" s="1"/>
      <c r="I27" s="12">
        <f>(Sources!I6)*(1-0.21)/(((((Sources!H11)+(Sources!I11))/2)+(((Sources!H18)+(Sources!I18))/2)))</f>
        <v>0</v>
      </c>
      <c r="J27" s="12">
        <f>(Sources!J6)*(1-0.21)/(((((Sources!I11)+(Sources!J11))/2)+(((Sources!I18)+(Sources!J18))/2)))</f>
        <v>0</v>
      </c>
      <c r="K27" s="12">
        <f>(Sources!K6)*(1-0.21)/(((((Sources!J11)+(Sources!K11))/2)+(((Sources!J18)+(Sources!K18))/2)))</f>
        <v>0</v>
      </c>
      <c r="L27" s="12">
        <f>(Sources!L6)*(1-0.21)/(((((Sources!K11)+(Sources!L11))/2)+(((Sources!K18)+(Sources!L18))/2)))</f>
        <v>0</v>
      </c>
      <c r="M27" s="12">
        <f>(Sources!M6)*(1-0.21)/(((((Sources!L11)+(Sources!M11))/2)+(((Sources!L18)+(Sources!M18))/2)))</f>
        <v>0</v>
      </c>
      <c r="N27" s="1"/>
      <c r="O27" s="12">
        <f>(Sources!O6)*(1-0.21)/(((((Sources!N11)+(Sources!O11))/2)+(((Sources!N18)+(Sources!O18))/2)))</f>
        <v>0</v>
      </c>
      <c r="P27" s="12">
        <f>(Sources!P6)*(1-0.21)/(((((Sources!O11)+(Sources!P11))/2)+(((Sources!O18)+(Sources!P18))/2)))</f>
        <v>0</v>
      </c>
      <c r="Q27" s="12">
        <f>(Sources!Q6)*(1-0.21)/(((((Sources!P11)+(Sources!Q11))/2)+(((Sources!P18)+(Sources!Q18))/2)))</f>
        <v>0</v>
      </c>
      <c r="R27" s="12">
        <f>(Sources!R6)*(1-0.21)/(((((Sources!Q11)+(Sources!R11))/2)+(((Sources!Q18)+(Sources!R18))/2)))</f>
        <v>0</v>
      </c>
      <c r="S27" s="12">
        <f>(Sources!S6)*(1-0.21)/(((((Sources!R11)+(Sources!S11))/2)+(((Sources!R18)+(Sources!S18))/2)))</f>
        <v>0</v>
      </c>
    </row>
    <row r="29" spans="1:19" ht="48" customHeight="1">
      <c r="A29" s="4" t="s">
        <v>68</v>
      </c>
    </row>
  </sheetData>
  <mergeCells count="3">
    <mergeCell ref="B3:G3"/>
    <mergeCell ref="H3:M3"/>
    <mergeCell ref="N3:S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Sources</vt:lpstr>
      <vt:lpstr>DuPont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2026-10-06T01:21:33Z</dcterms:created>
  <dcterms:modified xsi:type="dcterms:W3CDTF">2026-10-06T01:21:33Z</dcterms:modified>
</cp:coreProperties>
</file>